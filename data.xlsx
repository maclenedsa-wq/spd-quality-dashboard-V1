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uto" sheetId="2" r:id="rId6"/>
    <sheet state="visible" name="Agent Index" sheetId="3" r:id="rId7"/>
    <sheet state="visible" name="Health" sheetId="4" r:id="rId8"/>
    <sheet state="visible" name="Sheet8" sheetId="5" r:id="rId9"/>
    <sheet state="visible" name="Life" sheetId="6" r:id="rId10"/>
    <sheet state="visible" name="CS" sheetId="7" r:id="rId11"/>
  </sheets>
  <definedNames/>
  <calcPr/>
</workbook>
</file>

<file path=xl/sharedStrings.xml><?xml version="1.0" encoding="utf-8"?>
<sst xmlns="http://schemas.openxmlformats.org/spreadsheetml/2006/main" count="2645" uniqueCount="1133">
  <si>
    <t>LOB</t>
  </si>
  <si>
    <t>Campaign</t>
  </si>
  <si>
    <t>Corelation on SPD/CS</t>
  </si>
  <si>
    <t>Helpfullness Score</t>
  </si>
  <si>
    <t>Product Knowledge and Explanation</t>
  </si>
  <si>
    <t>Acknowledge &amp; Empathize</t>
  </si>
  <si>
    <t>Transaction</t>
  </si>
  <si>
    <t>Language, Tone and Professionalism</t>
  </si>
  <si>
    <t>Compliance</t>
  </si>
  <si>
    <t>Listening &amp; Understanding of Needs</t>
  </si>
  <si>
    <t>Count of HC &lt;80</t>
  </si>
  <si>
    <t>Count of HC &gt;80-85</t>
  </si>
  <si>
    <t>Count of HC &gt; 85-90</t>
  </si>
  <si>
    <t>Count of HC &gt; 90-95</t>
  </si>
  <si>
    <t>Count of HC &gt; 95</t>
  </si>
  <si>
    <t>Auto</t>
  </si>
  <si>
    <t>D2C Fresh</t>
  </si>
  <si>
    <t>Winback</t>
  </si>
  <si>
    <t>WB Bike</t>
  </si>
  <si>
    <t>Renewal</t>
  </si>
  <si>
    <t>New Car</t>
  </si>
  <si>
    <t>New Bike</t>
  </si>
  <si>
    <t>Overall</t>
  </si>
  <si>
    <t>Health</t>
  </si>
  <si>
    <t>Mag7</t>
  </si>
  <si>
    <t>Acknowledge &amp; Empathise</t>
  </si>
  <si>
    <t>Listening &amp; Understanding Needs</t>
  </si>
  <si>
    <t>Life</t>
  </si>
  <si>
    <t>CS</t>
  </si>
  <si>
    <t>Batch 1</t>
  </si>
  <si>
    <t>Batch 2</t>
  </si>
  <si>
    <t>Inhouse</t>
  </si>
  <si>
    <t>Bhopal V</t>
  </si>
  <si>
    <t>Amristar V</t>
  </si>
  <si>
    <t>Team Leader</t>
  </si>
  <si>
    <t>Emp ID</t>
  </si>
  <si>
    <t>Advisor</t>
  </si>
  <si>
    <t>Mandays</t>
  </si>
  <si>
    <t>Total Attempted</t>
  </si>
  <si>
    <t>Total Connected</t>
  </si>
  <si>
    <t>Average of Talk_Duration</t>
  </si>
  <si>
    <t>Assisted Sales ( Last Connected Agent &gt;=60secs)</t>
  </si>
  <si>
    <t>SPD/Agent</t>
  </si>
  <si>
    <t>Quality Bucket</t>
  </si>
  <si>
    <t>Transaction &amp; Resolution [3].percentage</t>
  </si>
  <si>
    <t>% Escalations</t>
  </si>
  <si>
    <t>% of Followup</t>
  </si>
  <si>
    <t>Buy on Call</t>
  </si>
  <si>
    <t>NMI</t>
  </si>
  <si>
    <t>WOW</t>
  </si>
  <si>
    <t>% Positive</t>
  </si>
  <si>
    <t>Negative</t>
  </si>
  <si>
    <t>% Neutral</t>
  </si>
  <si>
    <t>Correlation</t>
  </si>
  <si>
    <t>D2C</t>
  </si>
  <si>
    <t>IASPL26021</t>
  </si>
  <si>
    <t>simran chauhan</t>
  </si>
  <si>
    <t>Snehal pawar</t>
  </si>
  <si>
    <t>metaAttributes.positive_sentiment_count</t>
  </si>
  <si>
    <t>IASPL26973</t>
  </si>
  <si>
    <t>Sahil Afroze</t>
  </si>
  <si>
    <t>metaAttributes.follow_up_required_count</t>
  </si>
  <si>
    <t>IASPL23823</t>
  </si>
  <si>
    <t>Himanshi Gupta</t>
  </si>
  <si>
    <t>metaAttributes.unresolved_count</t>
  </si>
  <si>
    <t>IASPL26341</t>
  </si>
  <si>
    <t>Mohammed Amir Ahmed Taha</t>
  </si>
  <si>
    <t>metaAttributes.partially_resolved_count</t>
  </si>
  <si>
    <t>IASPL26463</t>
  </si>
  <si>
    <t>Aakansha</t>
  </si>
  <si>
    <t>metaAttributes.negative_sentiment_count</t>
  </si>
  <si>
    <t>metaAttributes.non_material_interaction_count</t>
  </si>
  <si>
    <t>metaAttributes.positive_intent_needs_follow_up_count</t>
  </si>
  <si>
    <t>metaAttributes.will_buy_self_count</t>
  </si>
  <si>
    <t>metaAttributes.payment_done_count</t>
  </si>
  <si>
    <t>metaAttributes.not_interested_in_buying_count</t>
  </si>
  <si>
    <t>metaAttributes.escalated_count</t>
  </si>
  <si>
    <t>IASPL26057</t>
  </si>
  <si>
    <t>Vishal Singh Chauhan</t>
  </si>
  <si>
    <t>metaAttributes.neutral_sentiment_count</t>
  </si>
  <si>
    <t>IASPL14177</t>
  </si>
  <si>
    <t>Mushtaq Ali</t>
  </si>
  <si>
    <t>metaAttributes.threatened_to_escalate_count</t>
  </si>
  <si>
    <t>Munirul Hasan Momin</t>
  </si>
  <si>
    <t>metaAttributes.resolved_count</t>
  </si>
  <si>
    <t>IASPL15100</t>
  </si>
  <si>
    <t>Rahul R</t>
  </si>
  <si>
    <t>IASPL14235</t>
  </si>
  <si>
    <t>Anush Kumar K</t>
  </si>
  <si>
    <t>IASPL14182</t>
  </si>
  <si>
    <t>Roza Rashid Sanadi</t>
  </si>
  <si>
    <t>IASPL23828</t>
  </si>
  <si>
    <t>Riya</t>
  </si>
  <si>
    <t>Vruddhi Karaia</t>
  </si>
  <si>
    <t>IASPL28157</t>
  </si>
  <si>
    <t>Saqiya Anjum Shaikh</t>
  </si>
  <si>
    <t>Irfan Ahamad</t>
  </si>
  <si>
    <t>IASPL20891</t>
  </si>
  <si>
    <t>Sengmai Sinpho</t>
  </si>
  <si>
    <t>IASPL23821</t>
  </si>
  <si>
    <t>Sambhuvey Mishra</t>
  </si>
  <si>
    <t>IASPL14383</t>
  </si>
  <si>
    <t>Shruti S Rangari</t>
  </si>
  <si>
    <t>Safiya Baig</t>
  </si>
  <si>
    <t>IASPL25807</t>
  </si>
  <si>
    <t>Mansoor Ahmed</t>
  </si>
  <si>
    <t>IASPL14397</t>
  </si>
  <si>
    <t>Hajira Z</t>
  </si>
  <si>
    <t>IASPL21500</t>
  </si>
  <si>
    <t>Sharana Basaveshwar</t>
  </si>
  <si>
    <t>IASPL28985</t>
  </si>
  <si>
    <t>Sufiya parveez</t>
  </si>
  <si>
    <t>Insha Shaikh</t>
  </si>
  <si>
    <t>Ayesha Patel</t>
  </si>
  <si>
    <t>Aditya Harchande</t>
  </si>
  <si>
    <t>IASPL28981</t>
  </si>
  <si>
    <t>Meher banu</t>
  </si>
  <si>
    <t>Yayati Nighojakar</t>
  </si>
  <si>
    <t>IASPL26294</t>
  </si>
  <si>
    <t>Kumud Chaudhary</t>
  </si>
  <si>
    <t>Mayuri Pardeshi</t>
  </si>
  <si>
    <t>IASPL24060</t>
  </si>
  <si>
    <t>Surya K</t>
  </si>
  <si>
    <t>Shambhu Das</t>
  </si>
  <si>
    <t>IASPL26461</t>
  </si>
  <si>
    <t>Farhan khan</t>
  </si>
  <si>
    <t>IASPL26056</t>
  </si>
  <si>
    <t>Pankaj kumar</t>
  </si>
  <si>
    <t>IASPL25503</t>
  </si>
  <si>
    <t>Ayush Thapa</t>
  </si>
  <si>
    <t>Sunita Jadhav</t>
  </si>
  <si>
    <t>IASPL28711</t>
  </si>
  <si>
    <t>Faizan Khan</t>
  </si>
  <si>
    <t>IASPL29015</t>
  </si>
  <si>
    <t>Shabaaz ahmed</t>
  </si>
  <si>
    <t>IASPL24614</t>
  </si>
  <si>
    <t>Syed Kamran</t>
  </si>
  <si>
    <t>IASPL24379</t>
  </si>
  <si>
    <t>Syed Tousif</t>
  </si>
  <si>
    <t>IASPL21251</t>
  </si>
  <si>
    <t>Preeti Kumari</t>
  </si>
  <si>
    <t>Taheseen Shaikh</t>
  </si>
  <si>
    <t>IALPL17489</t>
  </si>
  <si>
    <t>Waseem Ahmed</t>
  </si>
  <si>
    <t>IASPL23829</t>
  </si>
  <si>
    <t>Divya Bhagat</t>
  </si>
  <si>
    <t>IASPL19809</t>
  </si>
  <si>
    <t>Liyaqath Ali</t>
  </si>
  <si>
    <t>KHUSHI KANOJIYA</t>
  </si>
  <si>
    <t>IASPL28156</t>
  </si>
  <si>
    <t>Firozkhan Nadaf</t>
  </si>
  <si>
    <t>IASPL14856</t>
  </si>
  <si>
    <t>C S Sooraj</t>
  </si>
  <si>
    <t>Mohammad Karbari</t>
  </si>
  <si>
    <t>Vinit Madhavi</t>
  </si>
  <si>
    <t>IASPL15092</t>
  </si>
  <si>
    <t>Nagaramata Sneha</t>
  </si>
  <si>
    <t>IASPL24324</t>
  </si>
  <si>
    <t>Athist Kumar Y</t>
  </si>
  <si>
    <t>IASPL28984</t>
  </si>
  <si>
    <t>B Naveen</t>
  </si>
  <si>
    <t>IASPL28158</t>
  </si>
  <si>
    <t>Imran Danish</t>
  </si>
  <si>
    <t>IASPL20899</t>
  </si>
  <si>
    <t>S Sneha</t>
  </si>
  <si>
    <t>Suhasini Mudhliar</t>
  </si>
  <si>
    <t>IASPL20304</t>
  </si>
  <si>
    <t>Preethi B</t>
  </si>
  <si>
    <t>IASPL25809</t>
  </si>
  <si>
    <t>Netra S Patil</t>
  </si>
  <si>
    <t>IASPL26299</t>
  </si>
  <si>
    <t>Harsh Rastogi</t>
  </si>
  <si>
    <t>IASPL26470</t>
  </si>
  <si>
    <t>Aditi Ranjan</t>
  </si>
  <si>
    <t>IASPL16204</t>
  </si>
  <si>
    <t>Uzma zaara syed</t>
  </si>
  <si>
    <t>IASPL25504</t>
  </si>
  <si>
    <t>Jasmeet Singh</t>
  </si>
  <si>
    <t>Mamta Choudhary</t>
  </si>
  <si>
    <t>IASPL26344</t>
  </si>
  <si>
    <t>Khawja Naumaan Pasha</t>
  </si>
  <si>
    <t>IASPL26473</t>
  </si>
  <si>
    <t>Gautam</t>
  </si>
  <si>
    <t>Rishee bagade</t>
  </si>
  <si>
    <t>Shehbaz Ansari</t>
  </si>
  <si>
    <t>IASPL20903</t>
  </si>
  <si>
    <t>Syed Iqbal</t>
  </si>
  <si>
    <t>IASPL25509</t>
  </si>
  <si>
    <t>shaheer iqbal</t>
  </si>
  <si>
    <t>James yeshamala</t>
  </si>
  <si>
    <t>IASPL22322</t>
  </si>
  <si>
    <t>Arbeena Begum M</t>
  </si>
  <si>
    <t>IASPL21202</t>
  </si>
  <si>
    <t>pushpanjali n</t>
  </si>
  <si>
    <t>IASPL21830</t>
  </si>
  <si>
    <t>Sandhya</t>
  </si>
  <si>
    <t>Priyanka Balu Nagare</t>
  </si>
  <si>
    <t>IASPL24049</t>
  </si>
  <si>
    <t>Munilakshmi V</t>
  </si>
  <si>
    <t>Shreedhar Patil</t>
  </si>
  <si>
    <t>Shahen Ansari</t>
  </si>
  <si>
    <t>IASPL19617</t>
  </si>
  <si>
    <t>Shaik Irshad</t>
  </si>
  <si>
    <t>Noor Badsha</t>
  </si>
  <si>
    <t>Prateek Kanojiya</t>
  </si>
  <si>
    <t>Akshay Kumar</t>
  </si>
  <si>
    <t>DEVARAJL</t>
  </si>
  <si>
    <t>Sheeba Udhayakumar</t>
  </si>
  <si>
    <t>Ariba faisal memon</t>
  </si>
  <si>
    <t>Sunita Vishwakarma</t>
  </si>
  <si>
    <t>IASPL20966</t>
  </si>
  <si>
    <t>Rohit Tomar</t>
  </si>
  <si>
    <t>IASPL26342</t>
  </si>
  <si>
    <t>Mohammad Altaf</t>
  </si>
  <si>
    <t>Vinesh Makaria</t>
  </si>
  <si>
    <t>Suryakant Pande</t>
  </si>
  <si>
    <t>IASPL26010</t>
  </si>
  <si>
    <t>Anchal Sharma</t>
  </si>
  <si>
    <t>IASPL26314</t>
  </si>
  <si>
    <t>Sonia R</t>
  </si>
  <si>
    <t>IASPL19553</t>
  </si>
  <si>
    <t>Ayush Pandey</t>
  </si>
  <si>
    <t>IASPL15091</t>
  </si>
  <si>
    <t>Gururaj Mungade</t>
  </si>
  <si>
    <t>FAUZIYA GHOGHARI</t>
  </si>
  <si>
    <t>Pavan Upadhyay</t>
  </si>
  <si>
    <t>IASPL15101</t>
  </si>
  <si>
    <t>Tabreez Sharieff</t>
  </si>
  <si>
    <t>IASPL21499</t>
  </si>
  <si>
    <t>Sangam Kumar Rao</t>
  </si>
  <si>
    <t>Abdullah Khan</t>
  </si>
  <si>
    <t>Ganesh VP</t>
  </si>
  <si>
    <t>Yash Sunilkumar Gupta</t>
  </si>
  <si>
    <t>IASPL20893</t>
  </si>
  <si>
    <t>Simar Singh</t>
  </si>
  <si>
    <t>IASPL18504</t>
  </si>
  <si>
    <t>Rahul Sharma</t>
  </si>
  <si>
    <t>Pradnyaratna Dhargawe</t>
  </si>
  <si>
    <t>IASPL15093</t>
  </si>
  <si>
    <t>Pavan Kumar B A</t>
  </si>
  <si>
    <t>Vishal Chatarakar</t>
  </si>
  <si>
    <t>Purva Erandkar</t>
  </si>
  <si>
    <t>IASPL25510</t>
  </si>
  <si>
    <t>Chirag Gupta</t>
  </si>
  <si>
    <t>Shreyas Anil Pawar</t>
  </si>
  <si>
    <t>Quality Score</t>
  </si>
  <si>
    <t>Product Knowledge and Explanation [5].percentage</t>
  </si>
  <si>
    <t>Acknowledge &amp; Empathize [4].percentage</t>
  </si>
  <si>
    <t>Transaction [2].percentage</t>
  </si>
  <si>
    <t>Language, Tone and Professionalism [6].percentage</t>
  </si>
  <si>
    <t>Compliance [1].percentage</t>
  </si>
  <si>
    <t>Listening &amp; Understanding of Needs [0].percentage</t>
  </si>
  <si>
    <t>Karthik P</t>
  </si>
  <si>
    <t>IASPL21055</t>
  </si>
  <si>
    <t>Shafiya A</t>
  </si>
  <si>
    <t>IASPL12672</t>
  </si>
  <si>
    <t>Mohammed kaif</t>
  </si>
  <si>
    <t>IASPL21206</t>
  </si>
  <si>
    <t>Sameer ahmed</t>
  </si>
  <si>
    <t>IASPL21467</t>
  </si>
  <si>
    <t>Roopesh V</t>
  </si>
  <si>
    <t>IASPL24992</t>
  </si>
  <si>
    <t>Younus Khan</t>
  </si>
  <si>
    <t>IASPL21195</t>
  </si>
  <si>
    <t>Sheik afridi</t>
  </si>
  <si>
    <t>IASPL21056</t>
  </si>
  <si>
    <t>Kubra Aftab</t>
  </si>
  <si>
    <t>IASPL22629</t>
  </si>
  <si>
    <t>Umme Kulsum</t>
  </si>
  <si>
    <t>IASPL21059</t>
  </si>
  <si>
    <t>Shabaz Ahmed</t>
  </si>
  <si>
    <t>IASPL24052</t>
  </si>
  <si>
    <t>Shogi kaushal</t>
  </si>
  <si>
    <t>IASPL25982</t>
  </si>
  <si>
    <t>Rukshala Krishna</t>
  </si>
  <si>
    <t>IASPL21204</t>
  </si>
  <si>
    <t>Sandeep Koli</t>
  </si>
  <si>
    <t>IASPL26335</t>
  </si>
  <si>
    <t>Suffiya banu</t>
  </si>
  <si>
    <t>IASPL24053</t>
  </si>
  <si>
    <t>Sumaiya Afreen</t>
  </si>
  <si>
    <t>IASPL21205</t>
  </si>
  <si>
    <t>Mohammed Zuberulla</t>
  </si>
  <si>
    <t>Deepak Shah</t>
  </si>
  <si>
    <t>David Kumar</t>
  </si>
  <si>
    <t>Jahnavi Jadon</t>
  </si>
  <si>
    <t>Meher Taj</t>
  </si>
  <si>
    <t>IASPL19541</t>
  </si>
  <si>
    <t>Aditya Sharma</t>
  </si>
  <si>
    <t>IASPL21479</t>
  </si>
  <si>
    <t>Monu Bhati</t>
  </si>
  <si>
    <t>Manisha Kashyap</t>
  </si>
  <si>
    <t>IASPL26050</t>
  </si>
  <si>
    <t>Sachin Sharma</t>
  </si>
  <si>
    <t>Rajni</t>
  </si>
  <si>
    <t>Rohan Tripathi</t>
  </si>
  <si>
    <t>IASPL26465</t>
  </si>
  <si>
    <t>karan sharma</t>
  </si>
  <si>
    <t>Samir adhikari</t>
  </si>
  <si>
    <t>Anurag Kumar</t>
  </si>
  <si>
    <t>Harish</t>
  </si>
  <si>
    <t>Ranvir tanwar</t>
  </si>
  <si>
    <t>Shubhanshu Tiwari</t>
  </si>
  <si>
    <t>IASPL26017</t>
  </si>
  <si>
    <t>Alisha Ansari</t>
  </si>
  <si>
    <t>Ashirwad Shukla</t>
  </si>
  <si>
    <t>Anuj Dathan</t>
  </si>
  <si>
    <t>Arohi</t>
  </si>
  <si>
    <t>Dhruba Jyoti Gogoi</t>
  </si>
  <si>
    <t>Gaurav Singh Tanwar</t>
  </si>
  <si>
    <t>Ishank Popli</t>
  </si>
  <si>
    <t>IASPL21477</t>
  </si>
  <si>
    <t>Khushi</t>
  </si>
  <si>
    <t>Mayank Raj</t>
  </si>
  <si>
    <t>IASPL22422</t>
  </si>
  <si>
    <t>Nazini Khatoon</t>
  </si>
  <si>
    <t>Pooja Das</t>
  </si>
  <si>
    <t>Pushkar Soni</t>
  </si>
  <si>
    <t>Renuka Gharti Chhetri</t>
  </si>
  <si>
    <t>Shivanjali</t>
  </si>
  <si>
    <t>Mahak Verma</t>
  </si>
  <si>
    <t>Deepika Tomar</t>
  </si>
  <si>
    <t>Jiya Rajput</t>
  </si>
  <si>
    <t>Lakshay Kumar</t>
  </si>
  <si>
    <t>IASPL19558</t>
  </si>
  <si>
    <t>Lakshay Taneja</t>
  </si>
  <si>
    <t>Sakshi Dagar</t>
  </si>
  <si>
    <t>IASPL23607</t>
  </si>
  <si>
    <t>Suman Kumari</t>
  </si>
  <si>
    <t>Rahul</t>
  </si>
  <si>
    <t>Swati Soren</t>
  </si>
  <si>
    <t>Muskan Aneja</t>
  </si>
  <si>
    <t>Nikhil</t>
  </si>
  <si>
    <t>IASPL21242</t>
  </si>
  <si>
    <t>Saumya Bisht</t>
  </si>
  <si>
    <t>Namrita</t>
  </si>
  <si>
    <t>IASPL26052</t>
  </si>
  <si>
    <t>Sneha Chauhan</t>
  </si>
  <si>
    <t>ROSHNI SHARMA</t>
  </si>
  <si>
    <t>Ramesh Samant</t>
  </si>
  <si>
    <t>Amandeep</t>
  </si>
  <si>
    <t>Mukesh Singh</t>
  </si>
  <si>
    <t>Nitesh Kumar</t>
  </si>
  <si>
    <t>IASPL21176</t>
  </si>
  <si>
    <t>Riya sharma</t>
  </si>
  <si>
    <t>Akash Dubey</t>
  </si>
  <si>
    <t>IASPL28710</t>
  </si>
  <si>
    <t>Mehak Ahuja</t>
  </si>
  <si>
    <t>IASPL22431</t>
  </si>
  <si>
    <t>Bhavneet</t>
  </si>
  <si>
    <t>IASPL25525</t>
  </si>
  <si>
    <t>Muskaan</t>
  </si>
  <si>
    <t>Saurabh Sharma</t>
  </si>
  <si>
    <t>IASPL26058</t>
  </si>
  <si>
    <t>Farheen Khan</t>
  </si>
  <si>
    <t>IASPL26061</t>
  </si>
  <si>
    <t>Vanshika Panwar</t>
  </si>
  <si>
    <t>IASPL28702</t>
  </si>
  <si>
    <t>Mohd Adil</t>
  </si>
  <si>
    <t>Nikita</t>
  </si>
  <si>
    <t>Tarun Arora</t>
  </si>
  <si>
    <t>IASPL22438</t>
  </si>
  <si>
    <t>Ayushi</t>
  </si>
  <si>
    <t>Kshitij Wilson</t>
  </si>
  <si>
    <t>IASPL28704</t>
  </si>
  <si>
    <t>Ramesh Kumar</t>
  </si>
  <si>
    <t>IASPL28703</t>
  </si>
  <si>
    <t>Ishu Rana</t>
  </si>
  <si>
    <t>Praveen Kumar</t>
  </si>
  <si>
    <t>Jay Prakash</t>
  </si>
  <si>
    <t>Amit Nishad</t>
  </si>
  <si>
    <t>Tejal Kadam</t>
  </si>
  <si>
    <t>Shoeb Khan</t>
  </si>
  <si>
    <t>S14459</t>
  </si>
  <si>
    <t>Syed Arbaz</t>
  </si>
  <si>
    <t>S14450</t>
  </si>
  <si>
    <t>Riyan Ahmed</t>
  </si>
  <si>
    <t>Bhumika Lawangare</t>
  </si>
  <si>
    <t>Deepak Singh</t>
  </si>
  <si>
    <t>S16074</t>
  </si>
  <si>
    <t>Anandamma M</t>
  </si>
  <si>
    <t>Mahesh Gupta</t>
  </si>
  <si>
    <t>Priti Khandale</t>
  </si>
  <si>
    <t>IASPL21852</t>
  </si>
  <si>
    <t>Sumaiya Banu</t>
  </si>
  <si>
    <t>S14453</t>
  </si>
  <si>
    <t>Adnan Shafqat</t>
  </si>
  <si>
    <t>Mritynjay Majumdar</t>
  </si>
  <si>
    <t>Priti Parab</t>
  </si>
  <si>
    <t>PRASAD JOSHI</t>
  </si>
  <si>
    <t>Shadab Beg</t>
  </si>
  <si>
    <t>Felicia Dsouza</t>
  </si>
  <si>
    <t>Karim Khan</t>
  </si>
  <si>
    <t>Tayyaba Khan</t>
  </si>
  <si>
    <t>khushi hosamani</t>
  </si>
  <si>
    <t>IASPL26466</t>
  </si>
  <si>
    <t>Kalash Poonia</t>
  </si>
  <si>
    <t>IASPL20964</t>
  </si>
  <si>
    <t>Kirti Arya</t>
  </si>
  <si>
    <t>Sneha Sinha</t>
  </si>
  <si>
    <t>Darshan Gangurde</t>
  </si>
  <si>
    <t>IASPL29357</t>
  </si>
  <si>
    <t>Syed toufiya</t>
  </si>
  <si>
    <t>Vaseem Hodekar</t>
  </si>
  <si>
    <t>Priyanshu Vishwakarma</t>
  </si>
  <si>
    <t>IASPL26012</t>
  </si>
  <si>
    <t>Pranjal Rastogi</t>
  </si>
  <si>
    <t>IASPL29354</t>
  </si>
  <si>
    <t>Saira Farheen A</t>
  </si>
  <si>
    <t>IASPL29361</t>
  </si>
  <si>
    <t>Abdul Mueez</t>
  </si>
  <si>
    <t>IASPL26068</t>
  </si>
  <si>
    <t>Md Rehan Khan</t>
  </si>
  <si>
    <t>Amit Puri</t>
  </si>
  <si>
    <t>Amin Joseph</t>
  </si>
  <si>
    <t>Toukir Idrisi</t>
  </si>
  <si>
    <t>IASPL24457</t>
  </si>
  <si>
    <t>Mahenoor</t>
  </si>
  <si>
    <t>Disha Sharma</t>
  </si>
  <si>
    <t>Akshay Bangar</t>
  </si>
  <si>
    <t>IASPL25980</t>
  </si>
  <si>
    <t>Mehanaz S</t>
  </si>
  <si>
    <t>IASPL24453</t>
  </si>
  <si>
    <t>Pratap Kumar Devnath</t>
  </si>
  <si>
    <t>S13640</t>
  </si>
  <si>
    <t>Sumaiya Taj</t>
  </si>
  <si>
    <t>S14468</t>
  </si>
  <si>
    <t>Shoaib D</t>
  </si>
  <si>
    <t>IASPL26016</t>
  </si>
  <si>
    <t>Vikas Thakur</t>
  </si>
  <si>
    <t>Shivani Shukla</t>
  </si>
  <si>
    <t>IASPL28149</t>
  </si>
  <si>
    <t>Saba Riyaz Bisti</t>
  </si>
  <si>
    <t>Rahim Sayyed</t>
  </si>
  <si>
    <t>IASPL29359</t>
  </si>
  <si>
    <t>Nusrathjahan Umarfaruq Mulla</t>
  </si>
  <si>
    <t>Riyazuddin Ansari</t>
  </si>
  <si>
    <t>IASPL26318</t>
  </si>
  <si>
    <t>Sachin K J</t>
  </si>
  <si>
    <t>IASPL28150</t>
  </si>
  <si>
    <t>Nikitha J</t>
  </si>
  <si>
    <t>IASPL24454</t>
  </si>
  <si>
    <t>Nischay</t>
  </si>
  <si>
    <t>IASPL29355</t>
  </si>
  <si>
    <t>Mohammed adnan</t>
  </si>
  <si>
    <t>IASPL25521</t>
  </si>
  <si>
    <t>Khushi singh</t>
  </si>
  <si>
    <t>IASPL23613</t>
  </si>
  <si>
    <t>Iram Ali Siddiqui</t>
  </si>
  <si>
    <t>Shehzeal Daudani</t>
  </si>
  <si>
    <t>IASPL20182</t>
  </si>
  <si>
    <t>Tufail Abbas Zaidi</t>
  </si>
  <si>
    <t>IASPL26858</t>
  </si>
  <si>
    <t>Shafiya Khanum</t>
  </si>
  <si>
    <t>IASPL28154</t>
  </si>
  <si>
    <t>Pratiksha P Mhalsekar</t>
  </si>
  <si>
    <t>IASPL25528</t>
  </si>
  <si>
    <t>Abuzar Mirza</t>
  </si>
  <si>
    <t>IASPL21462</t>
  </si>
  <si>
    <t>Syed Rahamath Peera</t>
  </si>
  <si>
    <t>S17010</t>
  </si>
  <si>
    <t>Jyothi singh</t>
  </si>
  <si>
    <t>IASPL25993</t>
  </si>
  <si>
    <t>Reshma kouser AR</t>
  </si>
  <si>
    <t>IASPL28159</t>
  </si>
  <si>
    <t>Hemant Kumar Gautam</t>
  </si>
  <si>
    <t>IASPL21486</t>
  </si>
  <si>
    <t>Divyani</t>
  </si>
  <si>
    <t>Shaikh Anhar</t>
  </si>
  <si>
    <t>IASPL23610</t>
  </si>
  <si>
    <t>Dimple</t>
  </si>
  <si>
    <t>IASPL20890</t>
  </si>
  <si>
    <t>Eshan Ulla Khan</t>
  </si>
  <si>
    <t>IASPL18882</t>
  </si>
  <si>
    <t>Thosif Ulla</t>
  </si>
  <si>
    <t>Idris Kanchwala</t>
  </si>
  <si>
    <t>IASPL26340</t>
  </si>
  <si>
    <t>Nikath Parveen SN</t>
  </si>
  <si>
    <t>IASPL17133</t>
  </si>
  <si>
    <t>Nadeem Ahmed Baig</t>
  </si>
  <si>
    <t>IASPL26338</t>
  </si>
  <si>
    <t>Rahul Kohli</t>
  </si>
  <si>
    <t>IASPL26060</t>
  </si>
  <si>
    <t>Gyanesh Pratap Singh</t>
  </si>
  <si>
    <t>IASPL24059</t>
  </si>
  <si>
    <t>Jennifer A</t>
  </si>
  <si>
    <t>Samad Belgami</t>
  </si>
  <si>
    <t>IASPL29353</t>
  </si>
  <si>
    <t>Syed Anwar</t>
  </si>
  <si>
    <t>IASPL30228</t>
  </si>
  <si>
    <t>Komal</t>
  </si>
  <si>
    <t>IASPL27608</t>
  </si>
  <si>
    <t>Geetika</t>
  </si>
  <si>
    <t>IASPL30231</t>
  </si>
  <si>
    <t>Neha Soni</t>
  </si>
  <si>
    <t>IASPL30227</t>
  </si>
  <si>
    <t>Sanya Uppal</t>
  </si>
  <si>
    <t>IASPL30226</t>
  </si>
  <si>
    <t>Aashi Gupta</t>
  </si>
  <si>
    <t>Winback - Bike</t>
  </si>
  <si>
    <t>IASPL20904</t>
  </si>
  <si>
    <t>Veena M</t>
  </si>
  <si>
    <t>IASPL24062</t>
  </si>
  <si>
    <t>Shrimathi Jai</t>
  </si>
  <si>
    <t>IASPL17143</t>
  </si>
  <si>
    <t>Arfath Pasha</t>
  </si>
  <si>
    <t>IASPL21238</t>
  </si>
  <si>
    <t>Suraj</t>
  </si>
  <si>
    <t>IASPL17627</t>
  </si>
  <si>
    <t>Kajal sharma</t>
  </si>
  <si>
    <t>S14452</t>
  </si>
  <si>
    <t>Zainab Khuteja</t>
  </si>
  <si>
    <t>IASPL20627</t>
  </si>
  <si>
    <t>Sheikh Sadique</t>
  </si>
  <si>
    <t>Nikhil Katke</t>
  </si>
  <si>
    <t>IASPL20305</t>
  </si>
  <si>
    <t>Suhana Banu</t>
  </si>
  <si>
    <t>S16170</t>
  </si>
  <si>
    <t>M U Aruna</t>
  </si>
  <si>
    <t>IASPL20301</t>
  </si>
  <si>
    <t>Sapna Bosale</t>
  </si>
  <si>
    <t>S14762</t>
  </si>
  <si>
    <t>Mizba Banu M</t>
  </si>
  <si>
    <t>IASPL19552</t>
  </si>
  <si>
    <t>Muskan Qureshi</t>
  </si>
  <si>
    <t>IASPL20768</t>
  </si>
  <si>
    <t>Yuvraj Bhatt</t>
  </si>
  <si>
    <t>IASPL23641</t>
  </si>
  <si>
    <t>Yuvika Chauhan</t>
  </si>
  <si>
    <t>S14185</t>
  </si>
  <si>
    <t>Mamta Meghani</t>
  </si>
  <si>
    <t>IASPL17622</t>
  </si>
  <si>
    <t>Sonali tiwari</t>
  </si>
  <si>
    <t>S16080</t>
  </si>
  <si>
    <t>Rajeshwari P</t>
  </si>
  <si>
    <t>S16078</t>
  </si>
  <si>
    <t>Ramya D</t>
  </si>
  <si>
    <t>IASPL23778</t>
  </si>
  <si>
    <t>Hajira A</t>
  </si>
  <si>
    <t>IASPL23782</t>
  </si>
  <si>
    <t>Brundha</t>
  </si>
  <si>
    <t>IASPL24459</t>
  </si>
  <si>
    <t>Aanchal</t>
  </si>
  <si>
    <t>IASPL21885</t>
  </si>
  <si>
    <t>Mohammed Yasheer KA</t>
  </si>
  <si>
    <t>IASPL20873</t>
  </si>
  <si>
    <t>Santhosh</t>
  </si>
  <si>
    <t>IASPL22707</t>
  </si>
  <si>
    <t>Adil</t>
  </si>
  <si>
    <t>IASPL19619</t>
  </si>
  <si>
    <t>P Naveen</t>
  </si>
  <si>
    <t>email ID</t>
  </si>
  <si>
    <t>Agent Name</t>
  </si>
  <si>
    <t>haseeb.rehaman_scale_blr@acko.com</t>
  </si>
  <si>
    <t>Haseeb Ur Rehaman</t>
  </si>
  <si>
    <t>Existing - Mag7 New Batch New Advisor</t>
  </si>
  <si>
    <t>saravanan.nadar_scale_blr@acko.com</t>
  </si>
  <si>
    <t>Saravanan Nadar</t>
  </si>
  <si>
    <t>shaik.mohammed_scale_blr@acko.com</t>
  </si>
  <si>
    <t>Alfiya</t>
  </si>
  <si>
    <t>alfiya_scale_blr@acko.com</t>
  </si>
  <si>
    <t>Mohammed Suhail</t>
  </si>
  <si>
    <t>Existing - Mag7 New Batch Old Advisor</t>
  </si>
  <si>
    <t>mahalakshmi.kn_scale_blr@acko.com</t>
  </si>
  <si>
    <t>Mahalakshmi K N</t>
  </si>
  <si>
    <t>ramya.m_scale_blr@acko.com</t>
  </si>
  <si>
    <t>M Ramya Priya</t>
  </si>
  <si>
    <t>sufiya.annum_scale_blr@acko.com</t>
  </si>
  <si>
    <t>Sufiya Annum</t>
  </si>
  <si>
    <t>vikram.singh1_scale_blr@acko.com</t>
  </si>
  <si>
    <t>Vikram Singh</t>
  </si>
  <si>
    <t>deepak.kp_scale_blr@acko.com</t>
  </si>
  <si>
    <t>Deepak Singh K P</t>
  </si>
  <si>
    <t>Existing - Mag7 Pilot</t>
  </si>
  <si>
    <t>misba.azhar@acko.tech</t>
  </si>
  <si>
    <t>Misba Azhar</t>
  </si>
  <si>
    <t>mohammed.suhail@acko.tech</t>
  </si>
  <si>
    <t>rahila.rashid@acko.tech</t>
  </si>
  <si>
    <t>Rahila Rashid</t>
  </si>
  <si>
    <t>sooraj.sashidaran@acko.tech</t>
  </si>
  <si>
    <t>Sooraj Sashidharan</t>
  </si>
  <si>
    <t>abdul.begum_scale_blr@acko.com</t>
  </si>
  <si>
    <t>Abdul Ayesha Begum</t>
  </si>
  <si>
    <t>Existing - Rest of the Floor</t>
  </si>
  <si>
    <t>kondareddygari.peddireddy_scale_blr@acko.com</t>
  </si>
  <si>
    <t>Kondareddygari Peddireddy</t>
  </si>
  <si>
    <t>manthesh._scale_blr@acko.com</t>
  </si>
  <si>
    <t>Manthesh R</t>
  </si>
  <si>
    <t>mohmmedshoaib.a_scale_blr@acko.com</t>
  </si>
  <si>
    <t>Mohammed Shoaib A</t>
  </si>
  <si>
    <t>priyanka.n_scale_blr@acko.com</t>
  </si>
  <si>
    <t>Priyanka Hanumappa Nagaral</t>
  </si>
  <si>
    <t>sunil.k_scale_blr@acko.com</t>
  </si>
  <si>
    <t>Sunil Kumar K</t>
  </si>
  <si>
    <t>vivek.kumar1_scale_blr@acko.com</t>
  </si>
  <si>
    <t>Vivek Kumar</t>
  </si>
  <si>
    <t>abhishek.chandra_scale_blr@acko.com</t>
  </si>
  <si>
    <t>Abhishek Chandra</t>
  </si>
  <si>
    <t>Inbound</t>
  </si>
  <si>
    <t>bellary.sadiq_scale_blr@acko.com</t>
  </si>
  <si>
    <t>Bellary Jaffer Sadiq</t>
  </si>
  <si>
    <t>muzammil.khan_scale_blr@acko.com</t>
  </si>
  <si>
    <t>Muzammil Khan</t>
  </si>
  <si>
    <t>nitish.singh_scale_blr@acko.com</t>
  </si>
  <si>
    <t>Nitish Kumar Singh</t>
  </si>
  <si>
    <t>rajesh.das_scale_blr@acko.com</t>
  </si>
  <si>
    <t>Rajesh Das</t>
  </si>
  <si>
    <t>syed.shahbaz_scale_blr@acko.com</t>
  </si>
  <si>
    <t>Syed Shahbaz</t>
  </si>
  <si>
    <t>ali.musthaq_scale_blr@acko.com</t>
  </si>
  <si>
    <t>Ali Hussain Musthaq</t>
  </si>
  <si>
    <t>Non-Existing</t>
  </si>
  <si>
    <t>arfath.abbas_scale_blr@acko.com</t>
  </si>
  <si>
    <t>Arfath Abbas</t>
  </si>
  <si>
    <t>chandana.m_scale_blr@acko.com</t>
  </si>
  <si>
    <t>Chandana M</t>
  </si>
  <si>
    <t>chethan.c_scale_blr@acko.com</t>
  </si>
  <si>
    <t>Chethan C</t>
  </si>
  <si>
    <t>faizal.k_scale_blr@acko.com</t>
  </si>
  <si>
    <t>Faizal K</t>
  </si>
  <si>
    <t>gayatri.rajput_ilead_del@acko.com</t>
  </si>
  <si>
    <t>Gayatri Rajput</t>
  </si>
  <si>
    <t>kamal.laskar_scale_blr@acko.com</t>
  </si>
  <si>
    <t>Kamal Hassan Laskar</t>
  </si>
  <si>
    <t>maria.reena_scale_blr@acko.com</t>
  </si>
  <si>
    <t>R Maria Reena</t>
  </si>
  <si>
    <t>santosh.siddi_scale_blr@acko.com</t>
  </si>
  <si>
    <t>Santosh Jeruni Siddi</t>
  </si>
  <si>
    <t>shivani.prajapati_scale_blr@acko.com</t>
  </si>
  <si>
    <t>Shivani Prajapati</t>
  </si>
  <si>
    <t>smrutiranjan.biswal_scale_blr@acko.com</t>
  </si>
  <si>
    <t>Smrutiranjan Biswal</t>
  </si>
  <si>
    <t>sudhanshu.bhatt_ilead_del@acko.com</t>
  </si>
  <si>
    <t>Sudhanshu Bhatt</t>
  </si>
  <si>
    <t>swantana.chakraborty_scale_blr@acko.com</t>
  </si>
  <si>
    <t>Swantana Chakraborty</t>
  </si>
  <si>
    <t>syed.hafeez_scale_blr@acko.com</t>
  </si>
  <si>
    <t>Syed Hafeez Ahmed</t>
  </si>
  <si>
    <t>syed.tippu_scale_blr@acko.com</t>
  </si>
  <si>
    <t>Syed Tippu</t>
  </si>
  <si>
    <t>syed.zaiduddin_scale_blr@acko.com</t>
  </si>
  <si>
    <t>Syed Zaiduddin</t>
  </si>
  <si>
    <t>athiqa.kousher_scale_blr@acko.com</t>
  </si>
  <si>
    <t>Athiqa Kousher</t>
  </si>
  <si>
    <t>Outbound</t>
  </si>
  <si>
    <t>praneeth.sanil_scale_blr@acko.com</t>
  </si>
  <si>
    <t>Praneeth Sanil</t>
  </si>
  <si>
    <t>afreen.saba_scale_blr@acko.com</t>
  </si>
  <si>
    <t>Afreen Saba</t>
  </si>
  <si>
    <t>Porting</t>
  </si>
  <si>
    <t>karthik.n_scale_blr@acko.com</t>
  </si>
  <si>
    <t>Karthik K N</t>
  </si>
  <si>
    <t>md.mubbassir_scale_blr@acko.com</t>
  </si>
  <si>
    <t>H M D Mubbassir</t>
  </si>
  <si>
    <t>rumaniya.kulsum_scale_blr@acko.com</t>
  </si>
  <si>
    <t>Rumaniya kulsum</t>
  </si>
  <si>
    <t>shaik.nayeem_scale_blr@acko.com</t>
  </si>
  <si>
    <t>Shaik mohammed nayeem</t>
  </si>
  <si>
    <t>haleema.sadiya_scale_blr@acko.com</t>
  </si>
  <si>
    <t>Haleema Sadiya</t>
  </si>
  <si>
    <t>hannan_scale_blr@acko.com</t>
  </si>
  <si>
    <t>Hannan</t>
  </si>
  <si>
    <t>mohammed.shuaib_scale_blr@acko.com</t>
  </si>
  <si>
    <t>Mohammed Shuaib</t>
  </si>
  <si>
    <t>mohammed.tameem_scale_blr@acko.com</t>
  </si>
  <si>
    <t>Mohammed Tameem</t>
  </si>
  <si>
    <t>mohammed.zeeshan_scale_blr@acko.com</t>
  </si>
  <si>
    <t>Mohammed Zeeshan</t>
  </si>
  <si>
    <t>sonu.pariyar_scale_blr@acko.com</t>
  </si>
  <si>
    <t>Sonu Pariyar</t>
  </si>
  <si>
    <t>subhash.das_scale_blr@acko.com</t>
  </si>
  <si>
    <t>Subhash Chandra Das</t>
  </si>
  <si>
    <t>attikka.danish_scale_blr@acko.com</t>
  </si>
  <si>
    <t>Renewals</t>
  </si>
  <si>
    <t>bojamma.ka_scale_blr@acko.com</t>
  </si>
  <si>
    <t>mashood.khan_scale_blr@acko.com</t>
  </si>
  <si>
    <t>nazimulla.khan_scale_blr@acko.com</t>
  </si>
  <si>
    <t>ECN</t>
  </si>
  <si>
    <t>Avg Talk time per day</t>
  </si>
  <si>
    <t>Assisted Sales ( Highest TT &gt;5min)</t>
  </si>
  <si>
    <t>Positive</t>
  </si>
  <si>
    <t>Neutral</t>
  </si>
  <si>
    <t>.escalated</t>
  </si>
  <si>
    <t>.not_interested_in_buying</t>
  </si>
  <si>
    <t>.payment_done</t>
  </si>
  <si>
    <t>.will_buy_self</t>
  </si>
  <si>
    <t>.positive_intent_needs_follow_up</t>
  </si>
  <si>
    <t>.non_material_interaction</t>
  </si>
  <si>
    <t>.follow_up_required</t>
  </si>
  <si>
    <t>.unresolved</t>
  </si>
  <si>
    <t>.partially_resolved</t>
  </si>
  <si>
    <t>.resolved</t>
  </si>
  <si>
    <t>.threatened_to_escalate</t>
  </si>
  <si>
    <t>Beena PG</t>
  </si>
  <si>
    <t>S16447</t>
  </si>
  <si>
    <t>S12777</t>
  </si>
  <si>
    <t>S13372</t>
  </si>
  <si>
    <t>S13217</t>
  </si>
  <si>
    <t>S19405</t>
  </si>
  <si>
    <t>S12780</t>
  </si>
  <si>
    <t>TL</t>
  </si>
  <si>
    <t>MAG7</t>
  </si>
  <si>
    <t>Vikram Kumar majhi</t>
  </si>
  <si>
    <t>S16999</t>
  </si>
  <si>
    <t>S17927</t>
  </si>
  <si>
    <t>S17590</t>
  </si>
  <si>
    <t>Geetha R</t>
  </si>
  <si>
    <t>AT1071</t>
  </si>
  <si>
    <t>S24543</t>
  </si>
  <si>
    <t>S17920</t>
  </si>
  <si>
    <t>AT1065</t>
  </si>
  <si>
    <t>S18928</t>
  </si>
  <si>
    <t>S12770</t>
  </si>
  <si>
    <t>AT1060</t>
  </si>
  <si>
    <t>AT1070</t>
  </si>
  <si>
    <t>S24539</t>
  </si>
  <si>
    <t>S24536</t>
  </si>
  <si>
    <t>Shaik Hassan Mohammed</t>
  </si>
  <si>
    <t>Existing</t>
  </si>
  <si>
    <t>Jithin CJ</t>
  </si>
  <si>
    <t>S17191</t>
  </si>
  <si>
    <t>S16986</t>
  </si>
  <si>
    <t>S19751</t>
  </si>
  <si>
    <t>S18572</t>
  </si>
  <si>
    <t>S18945</t>
  </si>
  <si>
    <t>S18581</t>
  </si>
  <si>
    <t>S13366</t>
  </si>
  <si>
    <t>Non Existing</t>
  </si>
  <si>
    <t>Varun Raj</t>
  </si>
  <si>
    <t>S19746</t>
  </si>
  <si>
    <t>S13357</t>
  </si>
  <si>
    <t>S24538</t>
  </si>
  <si>
    <t>Ashil Simon</t>
  </si>
  <si>
    <t>S18566</t>
  </si>
  <si>
    <t>S12909</t>
  </si>
  <si>
    <t>S23771</t>
  </si>
  <si>
    <t>S24831</t>
  </si>
  <si>
    <t>S17518</t>
  </si>
  <si>
    <t>S17198</t>
  </si>
  <si>
    <t>S18919</t>
  </si>
  <si>
    <t>S23772</t>
  </si>
  <si>
    <t>S19686</t>
  </si>
  <si>
    <t>S18926</t>
  </si>
  <si>
    <t>S13055</t>
  </si>
  <si>
    <t>S24534</t>
  </si>
  <si>
    <t>S17197</t>
  </si>
  <si>
    <t>S13859</t>
  </si>
  <si>
    <t>IASPL24633</t>
  </si>
  <si>
    <t>IASPL24641</t>
  </si>
  <si>
    <t>S17200</t>
  </si>
  <si>
    <t>S19691</t>
  </si>
  <si>
    <t>S19752</t>
  </si>
  <si>
    <t>S17199</t>
  </si>
  <si>
    <t>Mohammed Sadiq Sharieff</t>
  </si>
  <si>
    <t>S19688</t>
  </si>
  <si>
    <t>S17190</t>
  </si>
  <si>
    <t>S19695</t>
  </si>
  <si>
    <t>S18917</t>
  </si>
  <si>
    <t>S13369</t>
  </si>
  <si>
    <t>S16985</t>
  </si>
  <si>
    <t>S12650</t>
  </si>
  <si>
    <t>agent_id</t>
  </si>
  <si>
    <t>skill</t>
  </si>
  <si>
    <t>Average of overall_percentage</t>
  </si>
  <si>
    <t>Average of Listening &amp; Understanding Needs</t>
  </si>
  <si>
    <t>Average of Product Knowledge and Explanation</t>
  </si>
  <si>
    <t>Average of Transaction</t>
  </si>
  <si>
    <t>Average of Acknowledge &amp; Empathise</t>
  </si>
  <si>
    <t>Average of Language, Tone and Professionalism</t>
  </si>
  <si>
    <t>Sum of .negative_sentiment_count</t>
  </si>
  <si>
    <t>Sum of .neutral_sentiment_count</t>
  </si>
  <si>
    <t>Grand Total</t>
  </si>
  <si>
    <t>Manager</t>
  </si>
  <si>
    <t>Rajni Kwatra</t>
  </si>
  <si>
    <t>S17652</t>
  </si>
  <si>
    <t>Ayesha Siddiqa</t>
  </si>
  <si>
    <t>S17658</t>
  </si>
  <si>
    <t>Fakkiresh Kalaghatagi</t>
  </si>
  <si>
    <t>S24833</t>
  </si>
  <si>
    <t>Gayathre B</t>
  </si>
  <si>
    <t>S24839</t>
  </si>
  <si>
    <t>Jaishree Thapa</t>
  </si>
  <si>
    <t>S24837</t>
  </si>
  <si>
    <t>Khan Ayaz</t>
  </si>
  <si>
    <t>S20979</t>
  </si>
  <si>
    <t>Muskan Taj</t>
  </si>
  <si>
    <t>S20982</t>
  </si>
  <si>
    <t>Onkar Suresh Bhagoji</t>
  </si>
  <si>
    <t>S19317</t>
  </si>
  <si>
    <t>Pikal Das</t>
  </si>
  <si>
    <t>S18188</t>
  </si>
  <si>
    <t>Roshan R</t>
  </si>
  <si>
    <t>S17649</t>
  </si>
  <si>
    <t>Saniya S</t>
  </si>
  <si>
    <t>S19635</t>
  </si>
  <si>
    <t>Sourav D S</t>
  </si>
  <si>
    <t>S20702</t>
  </si>
  <si>
    <t>Umme Hani</t>
  </si>
  <si>
    <t>Total Answered</t>
  </si>
  <si>
    <t>CES Score</t>
  </si>
  <si>
    <t>Quality</t>
  </si>
  <si>
    <t>Percentage Positive</t>
  </si>
  <si>
    <t>Kunuku Prasant Teja</t>
  </si>
  <si>
    <t>S5049</t>
  </si>
  <si>
    <t>Fazluddin 1</t>
  </si>
  <si>
    <t>S5121</t>
  </si>
  <si>
    <t>Afthab Sayyad</t>
  </si>
  <si>
    <t>S9989</t>
  </si>
  <si>
    <t>Karthik Rao</t>
  </si>
  <si>
    <t>S11631</t>
  </si>
  <si>
    <t>Supriya O</t>
  </si>
  <si>
    <t>S11632</t>
  </si>
  <si>
    <t>Syed Mouin</t>
  </si>
  <si>
    <t>S11932</t>
  </si>
  <si>
    <t>Deepika R Shankar</t>
  </si>
  <si>
    <t>S11954</t>
  </si>
  <si>
    <t>Mohammed Ruman</t>
  </si>
  <si>
    <t>S13025</t>
  </si>
  <si>
    <t>Hajeera Begum</t>
  </si>
  <si>
    <t>S14298</t>
  </si>
  <si>
    <t>Raziqha Zeeshan</t>
  </si>
  <si>
    <t>S14364</t>
  </si>
  <si>
    <t>Mohammed Arfath</t>
  </si>
  <si>
    <t>S14547</t>
  </si>
  <si>
    <t>Shadan Rahman</t>
  </si>
  <si>
    <t>S14684</t>
  </si>
  <si>
    <t>Tabassum Banu</t>
  </si>
  <si>
    <t>S14687</t>
  </si>
  <si>
    <t>Romana</t>
  </si>
  <si>
    <t>S15046</t>
  </si>
  <si>
    <t>Mohammed Aadil Pasha</t>
  </si>
  <si>
    <t>S16435</t>
  </si>
  <si>
    <t>Sweta Tiruwa</t>
  </si>
  <si>
    <t>S16445</t>
  </si>
  <si>
    <t>Waseem K</t>
  </si>
  <si>
    <t>S16464</t>
  </si>
  <si>
    <t>Anmol Taskeen</t>
  </si>
  <si>
    <t>S24076</t>
  </si>
  <si>
    <t>Manisha Mala</t>
  </si>
  <si>
    <t>S24079</t>
  </si>
  <si>
    <t>Mohammed Abrar</t>
  </si>
  <si>
    <t>S24136</t>
  </si>
  <si>
    <t>Avnish Kumar</t>
  </si>
  <si>
    <t>S24374</t>
  </si>
  <si>
    <t>Shafhan Me</t>
  </si>
  <si>
    <t>S24378</t>
  </si>
  <si>
    <t>Asma Khanum</t>
  </si>
  <si>
    <t>S24373</t>
  </si>
  <si>
    <t>Debabrata Sahu</t>
  </si>
  <si>
    <t>Divyanshu Dubey</t>
  </si>
  <si>
    <t>TTBS116621</t>
  </si>
  <si>
    <t>Shaikh Abdullah</t>
  </si>
  <si>
    <t>Yasa Qureshi</t>
  </si>
  <si>
    <t>TTBS117535</t>
  </si>
  <si>
    <t>Abhinandan Vyas</t>
  </si>
  <si>
    <t>TTBS117104</t>
  </si>
  <si>
    <t>Abhishek Panna</t>
  </si>
  <si>
    <t>TTBS118140</t>
  </si>
  <si>
    <t>Abhratanu Sen</t>
  </si>
  <si>
    <t>TTBS116620</t>
  </si>
  <si>
    <t>Nazim Khan</t>
  </si>
  <si>
    <t>TTBS117529</t>
  </si>
  <si>
    <t>Neha Chhavaria</t>
  </si>
  <si>
    <t>TTBS118048</t>
  </si>
  <si>
    <t>Ranjana Haveliya</t>
  </si>
  <si>
    <t>TTBS118034</t>
  </si>
  <si>
    <t>Vasudev Mehra</t>
  </si>
  <si>
    <t>TTBS114023</t>
  </si>
  <si>
    <t>Yash Katiyar</t>
  </si>
  <si>
    <t>TTBS118985</t>
  </si>
  <si>
    <t>Divya Batham</t>
  </si>
  <si>
    <t>TTBS109363</t>
  </si>
  <si>
    <t>Tarun rajput</t>
  </si>
  <si>
    <t>TTBS119204</t>
  </si>
  <si>
    <t>Pratibha singh Rajpoot</t>
  </si>
  <si>
    <t>TTBS119201</t>
  </si>
  <si>
    <t>Mohit Tiwari</t>
  </si>
  <si>
    <t>TTBS119284</t>
  </si>
  <si>
    <t>OM Namdev</t>
  </si>
  <si>
    <t>TTBS119655</t>
  </si>
  <si>
    <t>Vaibhav Gajbhiye</t>
  </si>
  <si>
    <t>TTBS119652</t>
  </si>
  <si>
    <t>Amit Pandey</t>
  </si>
  <si>
    <t>TTBS119657</t>
  </si>
  <si>
    <t>Asjad Ansari</t>
  </si>
  <si>
    <t>TTBS119661</t>
  </si>
  <si>
    <t>Pawan Joshi</t>
  </si>
  <si>
    <t>TTBS119219</t>
  </si>
  <si>
    <t>Ritika Mishra</t>
  </si>
  <si>
    <t>TTBS120048</t>
  </si>
  <si>
    <t>Abhishek Sharma</t>
  </si>
  <si>
    <t>TTBS120065</t>
  </si>
  <si>
    <t>Akshay Pratap singh</t>
  </si>
  <si>
    <t>TTBS120052</t>
  </si>
  <si>
    <t>Rakhi Patel</t>
  </si>
  <si>
    <t>TTBS120060</t>
  </si>
  <si>
    <t>Poonam Kushwaha</t>
  </si>
  <si>
    <t>TTBS120051</t>
  </si>
  <si>
    <t>ratnesh parmar</t>
  </si>
  <si>
    <t>TTBS121012</t>
  </si>
  <si>
    <t>Amrita Patel</t>
  </si>
  <si>
    <t>TTBS121018</t>
  </si>
  <si>
    <t>Fiza Khan</t>
  </si>
  <si>
    <t>TTBS121009</t>
  </si>
  <si>
    <t>Pranjal Wadhwani</t>
  </si>
  <si>
    <t>TTBS121008</t>
  </si>
  <si>
    <t>Devanshi Jain</t>
  </si>
  <si>
    <t>TTBS121050</t>
  </si>
  <si>
    <t>Rupesh Kushwaha</t>
  </si>
  <si>
    <t>TTBS121801</t>
  </si>
  <si>
    <t>Leena Meena</t>
  </si>
  <si>
    <t>TTBS122142</t>
  </si>
  <si>
    <t>Prashant Singh</t>
  </si>
  <si>
    <t>TTBS122197</t>
  </si>
  <si>
    <t>Nazia Parween</t>
  </si>
  <si>
    <t>TTBS122238</t>
  </si>
  <si>
    <t>Kartik Shakya</t>
  </si>
  <si>
    <t>TTBS122237</t>
  </si>
  <si>
    <t>Jibran Hafiz</t>
  </si>
  <si>
    <t>TTBS122153</t>
  </si>
  <si>
    <t>Alisha Khan</t>
  </si>
  <si>
    <t>TTBS122815</t>
  </si>
  <si>
    <t>Shubham Singh</t>
  </si>
  <si>
    <t>TTBS122944</t>
  </si>
  <si>
    <t>Sakshi Gupta</t>
  </si>
  <si>
    <t>TTBS122817</t>
  </si>
  <si>
    <t>Nabeel Khan</t>
  </si>
  <si>
    <t>TTBS122946</t>
  </si>
  <si>
    <t>Harshit Silare</t>
  </si>
  <si>
    <t>TTBS121888</t>
  </si>
  <si>
    <t>Shruti Zerbade</t>
  </si>
  <si>
    <t>TTBS122981</t>
  </si>
  <si>
    <t>Suman Patel</t>
  </si>
  <si>
    <t>TTBS122989</t>
  </si>
  <si>
    <t>Mohd arman Khan</t>
  </si>
  <si>
    <t>TTBS122811</t>
  </si>
  <si>
    <t>Shraddha Kushwah</t>
  </si>
  <si>
    <t>TTBS122816</t>
  </si>
  <si>
    <t>Pooja Tiwari</t>
  </si>
  <si>
    <t>TTBS123390</t>
  </si>
  <si>
    <t>Sheikh Kaleem</t>
  </si>
  <si>
    <t>TTBS123382</t>
  </si>
  <si>
    <t>Anurag Shukla</t>
  </si>
  <si>
    <t>TTBS123381</t>
  </si>
  <si>
    <t>Astha Jain</t>
  </si>
  <si>
    <t>TTBS119908</t>
  </si>
  <si>
    <t>Anmol Verma</t>
  </si>
  <si>
    <t>TTBS123392</t>
  </si>
  <si>
    <t>Toheed Qureshi</t>
  </si>
  <si>
    <t>TTBS123476</t>
  </si>
  <si>
    <t>Jitendra Pushpad</t>
  </si>
  <si>
    <t>TTBS123642</t>
  </si>
  <si>
    <t>Harsimar Kaur</t>
  </si>
  <si>
    <t>TTBS123638</t>
  </si>
  <si>
    <t>Mahima Biswal</t>
  </si>
  <si>
    <t>TTBS123646</t>
  </si>
  <si>
    <t>Ayush Singh</t>
  </si>
  <si>
    <t>TTBS123640</t>
  </si>
  <si>
    <t>Salwa Navaid</t>
  </si>
  <si>
    <t>TTBS123645</t>
  </si>
  <si>
    <t>Arham Ayaz</t>
  </si>
  <si>
    <t>TTBS123641</t>
  </si>
  <si>
    <t>Pratika Parihar</t>
  </si>
  <si>
    <t>TTBS123644</t>
  </si>
  <si>
    <t>Akash Dogra</t>
  </si>
  <si>
    <t>TTBS123387</t>
  </si>
  <si>
    <t>Akash Sahu</t>
  </si>
  <si>
    <t>TTBS119713</t>
  </si>
  <si>
    <t>Ashutosh Sharma</t>
  </si>
  <si>
    <t>Auto &amp; Health</t>
  </si>
  <si>
    <t>S25422</t>
  </si>
  <si>
    <t>Manisha Kumari</t>
  </si>
  <si>
    <t>S25423</t>
  </si>
  <si>
    <t>Amruth I Sudarshan</t>
  </si>
  <si>
    <t>S25424</t>
  </si>
  <si>
    <t>Kamran Ashraf</t>
  </si>
  <si>
    <t>S25426</t>
  </si>
  <si>
    <t>Biswajit Bahinipati</t>
  </si>
  <si>
    <t>S25427</t>
  </si>
  <si>
    <t>Saishree Mishra</t>
  </si>
  <si>
    <t>S25429</t>
  </si>
  <si>
    <t>Bhagyashree Soni R</t>
  </si>
  <si>
    <t>S25430</t>
  </si>
  <si>
    <t>Sujal Solanki P</t>
  </si>
  <si>
    <t>S25431</t>
  </si>
  <si>
    <t>Sahin Ahmed</t>
  </si>
  <si>
    <t>S25432</t>
  </si>
  <si>
    <t>S Ruksana Firdose</t>
  </si>
  <si>
    <t>S25433</t>
  </si>
  <si>
    <t>Gowda Shridhar Basavaraju</t>
  </si>
  <si>
    <t>S25434</t>
  </si>
  <si>
    <t>Mohammed Khalid</t>
  </si>
  <si>
    <t>S25435</t>
  </si>
  <si>
    <t>Syeda Amreen Fathima</t>
  </si>
  <si>
    <t>S25436</t>
  </si>
  <si>
    <t>Jacintha Michael</t>
  </si>
  <si>
    <t>S25440</t>
  </si>
  <si>
    <t>S Rubiya Banu</t>
  </si>
  <si>
    <t>S25441</t>
  </si>
  <si>
    <t>Pranamya Jaji</t>
  </si>
  <si>
    <t>S25437</t>
  </si>
  <si>
    <t>Mohammed Zain</t>
  </si>
  <si>
    <t>S25438</t>
  </si>
  <si>
    <t>Subhankar Deb</t>
  </si>
  <si>
    <t>S25439</t>
  </si>
  <si>
    <t>Manasi Murali Nair</t>
  </si>
  <si>
    <t>Amit Jha</t>
  </si>
  <si>
    <t>S25671</t>
  </si>
  <si>
    <t>Ayesha Faria</t>
  </si>
  <si>
    <t>S25672</t>
  </si>
  <si>
    <t>Sreyan Ghosh</t>
  </si>
  <si>
    <t>S25673</t>
  </si>
  <si>
    <t>Bancy Thammaiah B</t>
  </si>
  <si>
    <t>S25674</t>
  </si>
  <si>
    <t>Suman sharma</t>
  </si>
  <si>
    <t>S25676</t>
  </si>
  <si>
    <t>Saif ula shariff</t>
  </si>
  <si>
    <t>S25677</t>
  </si>
  <si>
    <t>Mahalaxmi</t>
  </si>
  <si>
    <t>S25678</t>
  </si>
  <si>
    <t>Soumya Hotgar</t>
  </si>
  <si>
    <t>S25680</t>
  </si>
  <si>
    <t>Vishal Singh</t>
  </si>
  <si>
    <t>S25681</t>
  </si>
  <si>
    <t>Supriti Kumari</t>
  </si>
  <si>
    <t>S25682</t>
  </si>
  <si>
    <t>Athar Fathima</t>
  </si>
  <si>
    <t>S25684</t>
  </si>
  <si>
    <t>S25685</t>
  </si>
  <si>
    <t>Suchismita Das Biswas</t>
  </si>
  <si>
    <t>S25686</t>
  </si>
  <si>
    <t>Mohamad Shahidh Nasar Basha</t>
  </si>
  <si>
    <t>S25687</t>
  </si>
  <si>
    <t>Suraj Sharma</t>
  </si>
  <si>
    <t>S25689</t>
  </si>
  <si>
    <t>Anshul Kumari</t>
  </si>
  <si>
    <t>S25690</t>
  </si>
  <si>
    <t>Deepak Kumar</t>
  </si>
  <si>
    <t>S25691</t>
  </si>
  <si>
    <t>Shreya Majumder</t>
  </si>
  <si>
    <t>S25692</t>
  </si>
  <si>
    <t>Shambhavi Raj</t>
  </si>
  <si>
    <t>S25693</t>
  </si>
  <si>
    <t>Manikanta Ganiga</t>
  </si>
  <si>
    <t>S25442</t>
  </si>
  <si>
    <t>Mehak Fathima</t>
  </si>
  <si>
    <t>Embedded &amp; Electronics</t>
  </si>
  <si>
    <t>Amandeep Singh</t>
  </si>
  <si>
    <t>Simranjeet Kaur</t>
  </si>
  <si>
    <t>Gurpreet Kaur</t>
  </si>
  <si>
    <t>Anshita Sharma</t>
  </si>
  <si>
    <t>Rania Khokhar</t>
  </si>
  <si>
    <t>Raghuraj Raj</t>
  </si>
  <si>
    <t>Mahi Kumar</t>
  </si>
  <si>
    <t>pushpinderjit kaur</t>
  </si>
  <si>
    <t>~</t>
  </si>
  <si>
    <t>Sunidhi Sharma</t>
  </si>
  <si>
    <t>Mehak Dhalla</t>
  </si>
  <si>
    <t>Aditi Kandial</t>
  </si>
  <si>
    <t>Manroop Mehra</t>
  </si>
  <si>
    <t>Akansha Sareen</t>
  </si>
  <si>
    <t>Shamsher Singh</t>
  </si>
  <si>
    <t>Bhumika Bharadwaj</t>
  </si>
  <si>
    <t>Chetna 1</t>
  </si>
  <si>
    <t>Aman deep Kaur</t>
  </si>
  <si>
    <t>Muskan Sharma</t>
  </si>
  <si>
    <t>Ramanpreet Singh</t>
  </si>
  <si>
    <t>Priya Kumari</t>
  </si>
  <si>
    <t>Harsimranjeet Kaur</t>
  </si>
  <si>
    <t>Sahil Sharma</t>
  </si>
  <si>
    <t>Devika nagpal</t>
  </si>
  <si>
    <t>Divjot Kaur</t>
  </si>
  <si>
    <t>Aryan Bhatia</t>
  </si>
  <si>
    <t>Rashmi S</t>
  </si>
  <si>
    <t>Sukhmeet Kaur</t>
  </si>
  <si>
    <t>Kumkum Sharma</t>
  </si>
  <si>
    <t>Jinny Goyal</t>
  </si>
  <si>
    <t>Yuvraj Kaur</t>
  </si>
  <si>
    <t>Yogesh Rai</t>
  </si>
  <si>
    <t>Sourav Kuthadia</t>
  </si>
  <si>
    <t>Ayushi Dutt</t>
  </si>
  <si>
    <t>Navdeep Kaur</t>
  </si>
  <si>
    <t>Manroop Kaur</t>
  </si>
  <si>
    <t>Harleen Kaur</t>
  </si>
  <si>
    <t>Jasleen Kaur</t>
  </si>
  <si>
    <t>Sandeep Singh</t>
  </si>
  <si>
    <t>Simranpal Singh</t>
  </si>
  <si>
    <t>Shubham Bhatti</t>
  </si>
  <si>
    <t>Tamanna R</t>
  </si>
  <si>
    <t>Tanisha S</t>
  </si>
  <si>
    <t>Sonia 1</t>
  </si>
  <si>
    <t>Simranjit Kaur</t>
  </si>
  <si>
    <t>Manpreet Singh 1</t>
  </si>
  <si>
    <t>Harsh Parashar</t>
  </si>
  <si>
    <t>Shruti Manna</t>
  </si>
  <si>
    <t>James Masih</t>
  </si>
  <si>
    <t>Shreya Kundra</t>
  </si>
  <si>
    <t>Privity Kour</t>
  </si>
  <si>
    <t>Rishi Sharma</t>
  </si>
  <si>
    <t>Jashandeep Singh</t>
  </si>
  <si>
    <t>Ashnoorpreet Kaur</t>
  </si>
  <si>
    <t>Akshita Panwar</t>
  </si>
  <si>
    <t>Muskan Anil</t>
  </si>
  <si>
    <t>Rishab Bhandari</t>
  </si>
  <si>
    <t>Harshdeep Singh</t>
  </si>
  <si>
    <t>Sukhbir Kaur</t>
  </si>
  <si>
    <t>S11219</t>
  </si>
  <si>
    <t>Sushil Kumar S Nadkarni</t>
  </si>
  <si>
    <t>S13159</t>
  </si>
  <si>
    <t>Ankita Goklani</t>
  </si>
  <si>
    <t>Ankita Gohar</t>
  </si>
  <si>
    <t>TTBS120495</t>
  </si>
  <si>
    <t>safi ahmed khan</t>
  </si>
  <si>
    <t>-</t>
  </si>
  <si>
    <t>TTBS121232</t>
  </si>
  <si>
    <t>Arshiya Khan</t>
  </si>
  <si>
    <t>TTBS123425</t>
  </si>
  <si>
    <t>Prashant Gupta</t>
  </si>
  <si>
    <t>TTBS123481</t>
  </si>
  <si>
    <t>Fahad Ahmad</t>
  </si>
  <si>
    <t>Probable Escalation</t>
  </si>
  <si>
    <t>S14696</t>
  </si>
  <si>
    <t>Shweta Chawra</t>
  </si>
  <si>
    <t>Retail Travel</t>
  </si>
  <si>
    <t>Farhan Khan</t>
  </si>
  <si>
    <t>S10911</t>
  </si>
  <si>
    <t>Syed Ali</t>
  </si>
  <si>
    <t>S10993</t>
  </si>
  <si>
    <t>Mohamed Khan</t>
  </si>
  <si>
    <t>S24368</t>
  </si>
  <si>
    <t>Subham Das</t>
  </si>
  <si>
    <t>S24367</t>
  </si>
  <si>
    <t>Pavitra Dappadhuli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</si>
</sst>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color rgb="FFFF0000"/>
      <name val="Arial"/>
      <scheme val="minor"/>
    </font>
    <font>
      <color rgb="FFFF0000"/>
      <name val="Arial"/>
    </font>
    <font>
      <b/>
      <color theme="1"/>
      <name val="Arial"/>
      <scheme val="minor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color rgb="FFFFFFFF"/>
      <name val="Calibri"/>
    </font>
    <font>
      <color rgb="FF000000"/>
      <name val="Calibri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D9EAD3"/>
        <bgColor rgb="FFD9EAD3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4B3E1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readingOrder="0" vertical="bottom"/>
    </xf>
    <xf borderId="6" fillId="0" fontId="2" numFmtId="10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readingOrder="0"/>
    </xf>
    <xf borderId="5" fillId="0" fontId="3" numFmtId="10" xfId="0" applyAlignment="1" applyBorder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5" fillId="0" fontId="4" numFmtId="0" xfId="0" applyBorder="1" applyFont="1"/>
    <xf borderId="0" fillId="0" fontId="5" numFmtId="10" xfId="0" applyAlignment="1" applyFont="1" applyNumberFormat="1">
      <alignment horizontal="center"/>
    </xf>
    <xf borderId="5" fillId="0" fontId="2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vertical="bottom"/>
    </xf>
    <xf borderId="6" fillId="0" fontId="6" numFmtId="10" xfId="0" applyAlignment="1" applyBorder="1" applyFont="1" applyNumberFormat="1">
      <alignment horizontal="center" vertical="bottom"/>
    </xf>
    <xf borderId="5" fillId="0" fontId="5" numFmtId="10" xfId="0" applyAlignment="1" applyBorder="1" applyFont="1" applyNumberFormat="1">
      <alignment horizontal="center"/>
    </xf>
    <xf borderId="8" fillId="0" fontId="4" numFmtId="0" xfId="0" applyBorder="1" applyFont="1"/>
    <xf borderId="2" fillId="0" fontId="7" numFmtId="0" xfId="0" applyAlignment="1" applyBorder="1" applyFont="1">
      <alignment readingOrder="0"/>
    </xf>
    <xf borderId="2" fillId="0" fontId="2" numFmtId="10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10" xfId="0" applyAlignment="1" applyBorder="1" applyFont="1" applyNumberFormat="1">
      <alignment horizontal="center"/>
    </xf>
    <xf borderId="3" fillId="0" fontId="3" numFmtId="10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2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0" fillId="0" fontId="2" numFmtId="10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9" fillId="0" fontId="4" numFmtId="0" xfId="0" applyBorder="1" applyFont="1"/>
    <xf borderId="10" fillId="0" fontId="1" numFmtId="0" xfId="0" applyAlignment="1" applyBorder="1" applyFont="1">
      <alignment vertical="bottom"/>
    </xf>
    <xf borderId="9" fillId="0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vertical="bottom"/>
    </xf>
    <xf borderId="10" fillId="0" fontId="3" numFmtId="0" xfId="0" applyBorder="1" applyFont="1"/>
    <xf borderId="11" fillId="0" fontId="3" numFmtId="0" xfId="0" applyBorder="1" applyFont="1"/>
    <xf borderId="0" fillId="0" fontId="7" numFmtId="0" xfId="0" applyFont="1"/>
    <xf borderId="0" fillId="0" fontId="3" numFmtId="0" xfId="0" applyAlignment="1" applyFont="1">
      <alignment horizontal="center"/>
    </xf>
    <xf borderId="12" fillId="2" fontId="8" numFmtId="0" xfId="0" applyAlignment="1" applyBorder="1" applyFill="1" applyFont="1">
      <alignment horizontal="center" readingOrder="0" shrinkToFit="0" wrapText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3" fontId="7" numFmtId="0" xfId="0" applyAlignment="1" applyFill="1" applyFont="1">
      <alignment horizontal="center" readingOrder="0"/>
    </xf>
    <xf borderId="0" fillId="0" fontId="9" numFmtId="10" xfId="0" applyAlignment="1" applyFont="1" applyNumberFormat="1">
      <alignment horizontal="center"/>
    </xf>
    <xf borderId="12" fillId="0" fontId="10" numFmtId="0" xfId="0" applyAlignment="1" applyBorder="1" applyFont="1">
      <alignment horizontal="center" readingOrder="0" shrinkToFit="0" vertical="bottom" wrapText="0"/>
    </xf>
    <xf borderId="12" fillId="0" fontId="10" numFmtId="0" xfId="0" applyAlignment="1" applyBorder="1" applyFont="1">
      <alignment horizontal="left" readingOrder="0" shrinkToFit="0" vertical="bottom" wrapText="0"/>
    </xf>
    <xf borderId="12" fillId="0" fontId="11" numFmtId="0" xfId="0" applyAlignment="1" applyBorder="1" applyFont="1">
      <alignment horizontal="center" readingOrder="0" shrinkToFit="0" vertical="bottom" wrapText="0"/>
    </xf>
    <xf borderId="12" fillId="0" fontId="11" numFmtId="46" xfId="0" applyAlignment="1" applyBorder="1" applyFont="1" applyNumberFormat="1">
      <alignment horizontal="center" readingOrder="0" shrinkToFit="0" vertical="bottom" wrapText="0"/>
    </xf>
    <xf borderId="12" fillId="0" fontId="11" numFmtId="4" xfId="0" applyAlignment="1" applyBorder="1" applyFont="1" applyNumberFormat="1">
      <alignment horizontal="center" readingOrder="0" shrinkToFit="0" vertical="bottom" wrapText="0"/>
    </xf>
    <xf borderId="0" fillId="0" fontId="9" numFmtId="0" xfId="0" applyAlignment="1" applyFont="1">
      <alignment horizontal="left" readingOrder="0"/>
    </xf>
    <xf borderId="0" fillId="0" fontId="9" numFmtId="0" xfId="0" applyFont="1"/>
    <xf borderId="12" fillId="0" fontId="11" numFmtId="21" xfId="0" applyAlignment="1" applyBorder="1" applyFont="1" applyNumberFormat="1">
      <alignment horizontal="center" readingOrder="0" shrinkToFit="0" vertical="bottom" wrapText="0"/>
    </xf>
    <xf borderId="0" fillId="0" fontId="9" numFmtId="0" xfId="0" applyAlignment="1" applyFont="1">
      <alignment readingOrder="0"/>
    </xf>
    <xf borderId="0" fillId="0" fontId="9" numFmtId="10" xfId="0" applyFont="1" applyNumberFormat="1"/>
    <xf borderId="0" fillId="0" fontId="9" numFmtId="0" xfId="0" applyFont="1"/>
    <xf borderId="0" fillId="0" fontId="9" numFmtId="4" xfId="0" applyFont="1" applyNumberFormat="1"/>
    <xf borderId="0" fillId="0" fontId="9" numFmtId="4" xfId="0" applyAlignment="1" applyFont="1" applyNumberFormat="1">
      <alignment readingOrder="0"/>
    </xf>
    <xf borderId="0" fillId="0" fontId="12" numFmtId="0" xfId="0" applyFont="1"/>
    <xf borderId="13" fillId="4" fontId="13" numFmtId="0" xfId="0" applyAlignment="1" applyBorder="1" applyFill="1" applyFont="1">
      <alignment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readingOrder="0"/>
    </xf>
    <xf borderId="14" fillId="2" fontId="8" numFmtId="0" xfId="0" applyAlignment="1" applyBorder="1" applyFont="1">
      <alignment horizontal="center" readingOrder="0" shrinkToFit="0" wrapText="0"/>
    </xf>
    <xf borderId="12" fillId="0" fontId="10" numFmtId="0" xfId="0" applyAlignment="1" applyBorder="1" applyFont="1">
      <alignment readingOrder="0" shrinkToFit="0" vertical="bottom" wrapText="0"/>
    </xf>
    <xf borderId="12" fillId="0" fontId="11" numFmtId="0" xfId="0" applyAlignment="1" applyBorder="1" applyFont="1">
      <alignment readingOrder="0" shrinkToFit="0" vertical="bottom" wrapText="0"/>
    </xf>
    <xf borderId="12" fillId="0" fontId="11" numFmtId="0" xfId="0" applyAlignment="1" applyBorder="1" applyFont="1">
      <alignment horizontal="center" readingOrder="0" shrinkToFit="0" wrapText="0"/>
    </xf>
    <xf borderId="12" fillId="0" fontId="11" numFmtId="21" xfId="0" applyAlignment="1" applyBorder="1" applyFont="1" applyNumberFormat="1">
      <alignment horizontal="center" readingOrder="0" shrinkToFit="0" wrapText="0"/>
    </xf>
    <xf borderId="12" fillId="0" fontId="11" numFmtId="4" xfId="0" applyAlignment="1" applyBorder="1" applyFont="1" applyNumberFormat="1">
      <alignment horizontal="center" readingOrder="0" shrinkToFit="0" wrapText="0"/>
    </xf>
    <xf borderId="15" fillId="0" fontId="11" numFmtId="0" xfId="0" applyAlignment="1" applyBorder="1" applyFont="1">
      <alignment horizontal="center" readingOrder="0" shrinkToFit="0" wrapText="0"/>
    </xf>
    <xf borderId="12" fillId="0" fontId="9" numFmtId="4" xfId="0" applyAlignment="1" applyBorder="1" applyFont="1" applyNumberFormat="1">
      <alignment horizontal="center"/>
    </xf>
    <xf borderId="12" fillId="0" fontId="9" numFmtId="10" xfId="0" applyAlignment="1" applyBorder="1" applyFont="1" applyNumberFormat="1">
      <alignment horizontal="center"/>
    </xf>
    <xf borderId="0" fillId="0" fontId="11" numFmtId="0" xfId="0" applyAlignment="1" applyFont="1">
      <alignment shrinkToFit="0" vertical="bottom" wrapText="0"/>
    </xf>
    <xf borderId="12" fillId="0" fontId="9" numFmtId="0" xfId="0" applyAlignment="1" applyBorder="1" applyFont="1">
      <alignment horizontal="center"/>
    </xf>
    <xf borderId="15" fillId="0" fontId="11" numFmtId="4" xfId="0" applyAlignment="1" applyBorder="1" applyFont="1" applyNumberFormat="1">
      <alignment horizontal="center" readingOrder="0" shrinkToFit="0" wrapText="0"/>
    </xf>
    <xf borderId="0" fillId="0" fontId="11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0" xfId="0" applyAlignment="1" applyFont="1" applyNumberFormat="1">
      <alignment readingOrder="0"/>
    </xf>
    <xf borderId="12" fillId="2" fontId="15" numFmtId="0" xfId="0" applyAlignment="1" applyBorder="1" applyFont="1">
      <alignment horizontal="center" readingOrder="0" shrinkToFit="0" wrapText="0"/>
    </xf>
    <xf borderId="14" fillId="2" fontId="15" numFmtId="0" xfId="0" applyAlignment="1" applyBorder="1" applyFont="1">
      <alignment horizontal="center" readingOrder="0" shrinkToFit="0" wrapText="0"/>
    </xf>
    <xf borderId="16" fillId="0" fontId="16" numFmtId="0" xfId="0" applyAlignment="1" applyBorder="1" applyFont="1">
      <alignment horizontal="center" readingOrder="0" shrinkToFit="0" vertical="bottom" wrapText="0"/>
    </xf>
    <xf borderId="15" fillId="0" fontId="16" numFmtId="0" xfId="0" applyAlignment="1" applyBorder="1" applyFont="1">
      <alignment horizontal="center" readingOrder="0" shrinkToFit="0" wrapText="0"/>
    </xf>
    <xf borderId="15" fillId="0" fontId="16" numFmtId="0" xfId="0" applyAlignment="1" applyBorder="1" applyFont="1">
      <alignment readingOrder="0" shrinkToFit="0" vertical="bottom" wrapText="0"/>
    </xf>
    <xf borderId="15" fillId="0" fontId="16" numFmtId="21" xfId="0" applyAlignment="1" applyBorder="1" applyFont="1" applyNumberFormat="1">
      <alignment horizontal="center" readingOrder="0" shrinkToFit="0" wrapText="0"/>
    </xf>
    <xf borderId="15" fillId="0" fontId="16" numFmtId="4" xfId="0" applyAlignment="1" applyBorder="1" applyFont="1" applyNumberFormat="1">
      <alignment horizontal="center" readingOrder="0" shrinkToFit="0" wrapText="0"/>
    </xf>
    <xf borderId="12" fillId="0" fontId="16" numFmtId="4" xfId="0" applyAlignment="1" applyBorder="1" applyFont="1" applyNumberFormat="1">
      <alignment horizontal="center" readingOrder="0" shrinkToFit="0" wrapText="0"/>
    </xf>
    <xf borderId="12" fillId="0" fontId="16" numFmtId="0" xfId="0" applyAlignment="1" applyBorder="1" applyFont="1">
      <alignment horizontal="center" readingOrder="0" shrinkToFit="0" wrapText="0"/>
    </xf>
    <xf borderId="12" fillId="2" fontId="17" numFmtId="0" xfId="0" applyAlignment="1" applyBorder="1" applyFont="1">
      <alignment horizontal="center" readingOrder="0" shrinkToFit="0" wrapText="0"/>
    </xf>
    <xf borderId="0" fillId="0" fontId="18" numFmtId="0" xfId="0" applyAlignment="1" applyFont="1">
      <alignment horizontal="center"/>
    </xf>
    <xf borderId="12" fillId="5" fontId="19" numFmtId="0" xfId="0" applyAlignment="1" applyBorder="1" applyFill="1" applyFont="1">
      <alignment horizontal="center" readingOrder="0" shrinkToFit="0" wrapText="0"/>
    </xf>
    <xf borderId="12" fillId="5" fontId="19" numFmtId="0" xfId="0" applyAlignment="1" applyBorder="1" applyFont="1">
      <alignment horizontal="left" readingOrder="0" shrinkToFit="0" vertical="bottom" wrapText="0"/>
    </xf>
    <xf borderId="12" fillId="5" fontId="19" numFmtId="0" xfId="0" applyAlignment="1" applyBorder="1" applyFont="1">
      <alignment horizontal="left" readingOrder="0" shrinkToFit="0" wrapText="0"/>
    </xf>
    <xf borderId="12" fillId="0" fontId="19" numFmtId="1" xfId="0" applyAlignment="1" applyBorder="1" applyFont="1" applyNumberFormat="1">
      <alignment horizontal="center" readingOrder="0" shrinkToFit="0" vertical="bottom" wrapText="0"/>
    </xf>
    <xf borderId="12" fillId="0" fontId="19" numFmtId="0" xfId="0" applyAlignment="1" applyBorder="1" applyFont="1">
      <alignment horizontal="center" readingOrder="0" shrinkToFit="0" vertical="bottom" wrapText="0"/>
    </xf>
    <xf borderId="12" fillId="0" fontId="19" numFmtId="21" xfId="0" applyAlignment="1" applyBorder="1" applyFont="1" applyNumberFormat="1">
      <alignment horizontal="center" readingOrder="0" shrinkToFit="0" vertical="bottom" wrapText="0"/>
    </xf>
    <xf borderId="12" fillId="0" fontId="19" numFmtId="10" xfId="0" applyAlignment="1" applyBorder="1" applyFont="1" applyNumberFormat="1">
      <alignment horizontal="center" readingOrder="0" shrinkToFit="0" wrapText="0"/>
    </xf>
    <xf borderId="12" fillId="0" fontId="18" numFmtId="0" xfId="0" applyAlignment="1" applyBorder="1" applyFont="1">
      <alignment horizontal="center"/>
    </xf>
    <xf borderId="0" fillId="0" fontId="18" numFmtId="0" xfId="0" applyAlignment="1" applyFont="1">
      <alignment horizontal="center" readingOrder="0"/>
    </xf>
    <xf borderId="0" fillId="0" fontId="18" numFmtId="10" xfId="0" applyAlignment="1" applyFont="1" applyNumberFormat="1">
      <alignment horizontal="center"/>
    </xf>
    <xf borderId="12" fillId="0" fontId="19" numFmtId="0" xfId="0" applyAlignment="1" applyBorder="1" applyFont="1">
      <alignment horizontal="left" readingOrder="0" shrinkToFit="0" vertical="bottom" wrapText="0"/>
    </xf>
    <xf borderId="12" fillId="0" fontId="19" numFmtId="10" xfId="0" applyAlignment="1" applyBorder="1" applyFont="1" applyNumberFormat="1">
      <alignment horizontal="center" readingOrder="0" shrinkToFit="0" vertical="bottom" wrapText="0"/>
    </xf>
    <xf borderId="12" fillId="5" fontId="19" numFmtId="0" xfId="0" applyAlignment="1" applyBorder="1" applyFont="1">
      <alignment horizontal="center" readingOrder="0" shrinkToFit="0" vertical="bottom" wrapText="0"/>
    </xf>
    <xf borderId="12" fillId="0" fontId="19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9.5"/>
    <col customWidth="1" min="3" max="3" width="18.5"/>
    <col customWidth="1" min="4" max="4" width="16.13"/>
    <col customWidth="1" min="5" max="5" width="30.0"/>
    <col customWidth="1" min="6" max="6" width="22.25"/>
    <col customWidth="1" min="7" max="7" width="10.38"/>
    <col customWidth="1" min="8" max="8" width="30.38"/>
    <col customWidth="1" min="9" max="9" width="10.5"/>
    <col customWidth="1" min="10" max="10" width="29.75"/>
    <col customWidth="1" min="11" max="11" width="14.0"/>
    <col customWidth="1" min="12" max="12" width="16.38"/>
    <col customWidth="1" min="13" max="14" width="16.88"/>
    <col customWidth="1" min="15" max="15" width="14.63"/>
    <col customWidth="1" min="16" max="26" width="11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9" t="s">
        <v>14</v>
      </c>
    </row>
    <row r="2">
      <c r="A2" s="10" t="s">
        <v>15</v>
      </c>
      <c r="B2" s="11" t="s">
        <v>16</v>
      </c>
      <c r="C2" s="12">
        <f>Auto!AM2</f>
        <v>0.1677937074</v>
      </c>
      <c r="D2" s="13">
        <v>86.53</v>
      </c>
      <c r="E2" s="14">
        <f>Auto!AD2</f>
        <v>0.1817588964</v>
      </c>
      <c r="F2" s="15">
        <f>Auto!AE2</f>
        <v>0.1881542129</v>
      </c>
      <c r="G2" s="15">
        <f>Auto!AG2</f>
        <v>0.1618516724</v>
      </c>
      <c r="H2" s="15">
        <f>Auto!AH2</f>
        <v>0.07103543094</v>
      </c>
      <c r="I2" s="15">
        <f>Auto!AI2</f>
        <v>0.1092937758</v>
      </c>
      <c r="J2" s="15">
        <f>Auto!AJ2</f>
        <v>0.03406330901</v>
      </c>
      <c r="K2" s="16">
        <f>COUNTIFS(Auto!$A:$A,"D2C",Auto!$L:$L,"L80")</f>
        <v>2</v>
      </c>
      <c r="L2" s="17">
        <f>COUNTIFS(Auto!$A:$A,"D2C",Auto!$L:$L,"81-85")</f>
        <v>26</v>
      </c>
      <c r="M2" s="17">
        <f>COUNTIFS(Auto!$A:$A,"D2C",Auto!$L:$L,"85-90")</f>
        <v>73</v>
      </c>
      <c r="N2" s="17">
        <f>COUNTIFS(Auto!$A:$A,"D2C",Auto!$L:$L,"91-95")</f>
        <v>7</v>
      </c>
      <c r="O2" s="18">
        <f>COUNTIFS(Auto!$A:$A,"D2C",Auto!$L:$L,"G95%")</f>
        <v>0</v>
      </c>
    </row>
    <row r="3">
      <c r="A3" s="19"/>
      <c r="B3" s="11" t="s">
        <v>17</v>
      </c>
      <c r="C3" s="12">
        <f>Auto!AM200</f>
        <v>0.282735934</v>
      </c>
      <c r="D3" s="13">
        <v>86.16</v>
      </c>
      <c r="E3" s="14">
        <f>Auto!AD200</f>
        <v>0.2198035584</v>
      </c>
      <c r="F3" s="15">
        <f>Auto!AE200</f>
        <v>0.03291144512</v>
      </c>
      <c r="G3" s="15">
        <f>Auto!AG200</f>
        <v>0.1444486999</v>
      </c>
      <c r="H3" s="15">
        <f>Auto!AH200</f>
        <v>0.1211647129</v>
      </c>
      <c r="I3" s="20">
        <f>Auto!AI200</f>
        <v>-0.06428543095</v>
      </c>
      <c r="J3" s="15">
        <f>Auto!AJ200</f>
        <v>0.2199898528</v>
      </c>
      <c r="K3" s="16">
        <f>COUNTIFS(Auto!$A:$A,"Winback",Auto!$L:$L,"L80")</f>
        <v>0</v>
      </c>
      <c r="L3" s="17">
        <f>COUNTIFS(Auto!$A:$A,"Winback",Auto!$L:$L,"81-85")</f>
        <v>19</v>
      </c>
      <c r="M3" s="17">
        <f>COUNTIFS(Auto!$A:$A,"Winback",Auto!$L:$L,"85-90")</f>
        <v>52</v>
      </c>
      <c r="N3" s="17">
        <f>COUNTIFS(Auto!$A:$A,"Winback",Auto!$L:$L,"91-95")</f>
        <v>4</v>
      </c>
      <c r="O3" s="18">
        <f>COUNTIFS(Auto!$A:$A,"Winback",Auto!$L:$L,"G95%")</f>
        <v>0</v>
      </c>
    </row>
    <row r="4">
      <c r="A4" s="19"/>
      <c r="B4" s="11" t="s">
        <v>18</v>
      </c>
      <c r="C4" s="12">
        <f>Auto!AM282</f>
        <v>0.1288618642</v>
      </c>
      <c r="D4" s="21">
        <v>86.36</v>
      </c>
      <c r="E4" s="14">
        <f>Auto!AD282</f>
        <v>0.10839409</v>
      </c>
      <c r="F4" s="15">
        <f>Auto!AE282</f>
        <v>0.2647433853</v>
      </c>
      <c r="G4" s="20">
        <f>Auto!AG282</f>
        <v>-0.04691017446</v>
      </c>
      <c r="H4" s="20">
        <f>Auto!AH282</f>
        <v>-0.1250903669</v>
      </c>
      <c r="I4" s="15">
        <f>Auto!AI282</f>
        <v>0.3510152497</v>
      </c>
      <c r="J4" s="20">
        <f>Auto!AJ282</f>
        <v>-0.04127171168</v>
      </c>
      <c r="K4" s="16">
        <f>COUNTIFS(Auto!$A:$A,"Winback - Bike",Auto!$L:$L,"L80")</f>
        <v>0</v>
      </c>
      <c r="L4" s="17">
        <f>COUNTIFS(Auto!$A:$A,"Winback - Bike",Auto!$L:$L,"81-85")</f>
        <v>9</v>
      </c>
      <c r="M4" s="17">
        <f>COUNTIFS(Auto!$A:$A,"Winback - Bike",Auto!$L:$L,"85-90")</f>
        <v>17</v>
      </c>
      <c r="N4" s="17">
        <f>COUNTIFS(Auto!$A:$A,"Winback - Bike",Auto!$L:$L,"91-95")</f>
        <v>0</v>
      </c>
      <c r="O4" s="18">
        <f>COUNTIFS(Auto!$A:$A,"Winback - Bike",Auto!$L:$L,"G95%")</f>
        <v>0</v>
      </c>
    </row>
    <row r="5">
      <c r="A5" s="19"/>
      <c r="B5" s="22" t="s">
        <v>19</v>
      </c>
      <c r="C5" s="12">
        <f>Auto!AM171</f>
        <v>0.572060725</v>
      </c>
      <c r="D5" s="21">
        <v>86.62</v>
      </c>
      <c r="E5" s="14">
        <f>Auto!AD171</f>
        <v>0.5661098977</v>
      </c>
      <c r="F5" s="15">
        <f>Auto!AE171</f>
        <v>0.537523577</v>
      </c>
      <c r="G5" s="15">
        <f>Auto!AG171</f>
        <v>0.4820928216</v>
      </c>
      <c r="H5" s="15">
        <f>Auto!AH171</f>
        <v>0.3860858233</v>
      </c>
      <c r="I5" s="20">
        <f>Auto!AI171</f>
        <v>-0.3672422517</v>
      </c>
      <c r="J5" s="15">
        <f>Auto!AJ171</f>
        <v>0.5883067443</v>
      </c>
      <c r="K5" s="16">
        <f>COUNTIFS(Auto!$A:$A,"Renewal",Auto!$L:$L,"L80")</f>
        <v>0</v>
      </c>
      <c r="L5" s="17">
        <f>COUNTIFS(Auto!$A:$A,"Renewal",Auto!$L:$L,"81-85")</f>
        <v>10</v>
      </c>
      <c r="M5" s="17">
        <f>COUNTIFS(Auto!$A:$A,"Renewal",Auto!$L:$L,"85-90")</f>
        <v>15</v>
      </c>
      <c r="N5" s="17">
        <f>COUNTIFS(Auto!$A:$A,"Renewal",Auto!$L:$L,"91-95")</f>
        <v>0</v>
      </c>
      <c r="O5" s="18">
        <f>COUNTIFS(Auto!$A:$A,"Renewal",Auto!$L:$L,"G95%")</f>
        <v>2</v>
      </c>
    </row>
    <row r="6">
      <c r="A6" s="19"/>
      <c r="B6" s="11" t="s">
        <v>20</v>
      </c>
      <c r="C6" s="23">
        <f>Auto!AM130</f>
        <v>-0.3735967949</v>
      </c>
      <c r="D6" s="21">
        <v>88.44</v>
      </c>
      <c r="E6" s="24">
        <f>Auto!AD130</f>
        <v>-0.5081977211</v>
      </c>
      <c r="F6" s="20">
        <f>Auto!AE130</f>
        <v>-0.2233131996</v>
      </c>
      <c r="G6" s="20">
        <f>Auto!AG130</f>
        <v>-0.1546855592</v>
      </c>
      <c r="H6" s="20">
        <f>Auto!AH130</f>
        <v>-0.2221607877</v>
      </c>
      <c r="I6" s="20">
        <f>Auto!AI130</f>
        <v>-0.2255616139</v>
      </c>
      <c r="J6" s="20">
        <f>Auto!AJ130</f>
        <v>-0.2643660772</v>
      </c>
      <c r="K6" s="16">
        <f>COUNTIFS(Auto!$A:$A,"New Car",Auto!$L:$L,"L80")</f>
        <v>0</v>
      </c>
      <c r="L6" s="17">
        <f>COUNTIFS(Auto!$A:$A,"New Car",Auto!$L:$L,"81-85")</f>
        <v>0</v>
      </c>
      <c r="M6" s="17">
        <f>COUNTIFS(Auto!$A:$A,"New Car",Auto!$L:$L,"85-90")</f>
        <v>34</v>
      </c>
      <c r="N6" s="17">
        <f>COUNTIFS(Auto!$A:$A,"New Car",Auto!$L:$L,"91-95")</f>
        <v>3</v>
      </c>
      <c r="O6" s="18">
        <f>COUNTIFS(Auto!$A:$A,"New Car",Auto!$L:$L,"G95%")</f>
        <v>2</v>
      </c>
    </row>
    <row r="7">
      <c r="A7" s="19"/>
      <c r="B7" s="11" t="s">
        <v>21</v>
      </c>
      <c r="C7" s="12">
        <f>Auto!AM113</f>
        <v>0.2648019275</v>
      </c>
      <c r="D7" s="21">
        <v>87.29</v>
      </c>
      <c r="E7" s="14">
        <f>Auto!AD113</f>
        <v>0.390514849</v>
      </c>
      <c r="F7" s="15">
        <f>Auto!AE113</f>
        <v>0.08571459787</v>
      </c>
      <c r="G7" s="15">
        <f>Auto!AG113</f>
        <v>0.07243239485</v>
      </c>
      <c r="H7" s="15">
        <f>Auto!AH113</f>
        <v>0.1715216958</v>
      </c>
      <c r="I7" s="15">
        <f>Auto!AI113</f>
        <v>0.2061475752</v>
      </c>
      <c r="J7" s="15">
        <f>Auto!AJ113</f>
        <v>0.1039795499</v>
      </c>
      <c r="K7" s="16">
        <f>COUNTIFS(Auto!$A:$A,"New Bike",Auto!$L:$L,"L80")</f>
        <v>0</v>
      </c>
      <c r="L7" s="17">
        <f>COUNTIFS(Auto!$A:$A,"New Bike",Auto!$L:$L,"81-85")</f>
        <v>4</v>
      </c>
      <c r="M7" s="17">
        <f>COUNTIFS(Auto!$A:$A,"New Bike",Auto!$L:$L,"85-90")</f>
        <v>9</v>
      </c>
      <c r="N7" s="17">
        <f>COUNTIFS(Auto!$A:$A,"New Bike",Auto!$L:$L,"91-95")</f>
        <v>1</v>
      </c>
      <c r="O7" s="18">
        <f>COUNTIFS(Auto!$A:$A,"New Bike",Auto!$L:$L,"G95%")</f>
        <v>1</v>
      </c>
    </row>
    <row r="8">
      <c r="A8" s="25"/>
      <c r="B8" s="26" t="s">
        <v>22</v>
      </c>
      <c r="C8" s="27">
        <f>Auto!AN2</f>
        <v>0.1842457494</v>
      </c>
      <c r="D8" s="28">
        <v>86.73</v>
      </c>
      <c r="E8" s="29"/>
      <c r="F8" s="30"/>
      <c r="G8" s="30"/>
      <c r="H8" s="30"/>
      <c r="I8" s="30"/>
      <c r="J8" s="30"/>
      <c r="K8" s="31"/>
      <c r="L8" s="32"/>
      <c r="M8" s="32"/>
      <c r="N8" s="32"/>
      <c r="O8" s="33"/>
    </row>
    <row r="9">
      <c r="A9" s="34"/>
      <c r="B9" s="35"/>
      <c r="C9" s="17"/>
      <c r="D9" s="17"/>
      <c r="E9" s="17"/>
      <c r="F9" s="17"/>
      <c r="G9" s="17"/>
      <c r="H9" s="36"/>
      <c r="I9" s="36"/>
      <c r="J9" s="17"/>
      <c r="K9" s="17"/>
    </row>
    <row r="10">
      <c r="A10" s="34" t="s">
        <v>23</v>
      </c>
      <c r="B10" s="35"/>
      <c r="C10" s="17"/>
      <c r="D10" s="17"/>
      <c r="E10" s="17"/>
      <c r="F10" s="17"/>
      <c r="G10" s="17"/>
      <c r="H10" s="36"/>
      <c r="I10" s="36"/>
      <c r="J10" s="17"/>
      <c r="K10" s="17"/>
    </row>
    <row r="11">
      <c r="A11" s="34"/>
      <c r="B11" s="35" t="s">
        <v>24</v>
      </c>
      <c r="C11" s="17"/>
      <c r="D11" s="17"/>
      <c r="E11" s="17"/>
      <c r="F11" s="17"/>
      <c r="G11" s="17"/>
      <c r="H11" s="36"/>
      <c r="I11" s="36"/>
      <c r="J11" s="17"/>
      <c r="K11" s="17"/>
    </row>
    <row r="12">
      <c r="A12" s="34"/>
      <c r="B12" s="35"/>
      <c r="C12" s="17"/>
      <c r="D12" s="17"/>
      <c r="E12" s="17"/>
      <c r="F12" s="17"/>
      <c r="G12" s="17"/>
      <c r="H12" s="36"/>
      <c r="I12" s="36"/>
      <c r="J12" s="17"/>
      <c r="K12" s="17"/>
    </row>
    <row r="13">
      <c r="A13" s="34"/>
      <c r="B13" s="35"/>
      <c r="C13" s="17"/>
      <c r="D13" s="17"/>
      <c r="E13" s="17"/>
      <c r="F13" s="17"/>
      <c r="G13" s="17"/>
      <c r="H13" s="36"/>
      <c r="I13" s="36"/>
      <c r="J13" s="17"/>
      <c r="K13" s="17"/>
    </row>
    <row r="14">
      <c r="A14" s="34"/>
      <c r="B14" s="35"/>
      <c r="C14" s="17"/>
      <c r="D14" s="17"/>
      <c r="E14" s="17"/>
      <c r="F14" s="17"/>
      <c r="G14" s="17"/>
      <c r="H14" s="36"/>
      <c r="I14" s="36"/>
      <c r="J14" s="17"/>
      <c r="K14" s="17"/>
    </row>
    <row r="15">
      <c r="A15" s="37" t="s">
        <v>0</v>
      </c>
      <c r="B15" s="2" t="s">
        <v>1</v>
      </c>
      <c r="C15" s="3" t="s">
        <v>2</v>
      </c>
      <c r="D15" s="4" t="s">
        <v>3</v>
      </c>
      <c r="E15" s="5"/>
      <c r="F15" s="6" t="s">
        <v>25</v>
      </c>
      <c r="G15" s="6" t="s">
        <v>6</v>
      </c>
      <c r="H15" s="6" t="s">
        <v>7</v>
      </c>
      <c r="I15" s="6"/>
      <c r="J15" s="6" t="s">
        <v>26</v>
      </c>
      <c r="K15" s="7" t="s">
        <v>10</v>
      </c>
      <c r="L15" s="8" t="s">
        <v>11</v>
      </c>
      <c r="M15" s="8" t="s">
        <v>12</v>
      </c>
      <c r="N15" s="8" t="s">
        <v>13</v>
      </c>
      <c r="O15" s="9" t="s">
        <v>14</v>
      </c>
    </row>
    <row r="16">
      <c r="A16" s="38" t="s">
        <v>27</v>
      </c>
      <c r="B16" s="39" t="s">
        <v>16</v>
      </c>
      <c r="C16" s="12">
        <f>Life!M2</f>
        <v>0.3479486289</v>
      </c>
      <c r="D16" s="40">
        <v>88.56</v>
      </c>
      <c r="F16" s="41">
        <f>Life!T2</f>
        <v>0.2190189203</v>
      </c>
      <c r="G16" s="41">
        <f>Life!V2</f>
        <v>0.3075340517</v>
      </c>
      <c r="H16" s="41">
        <f>Life!U2</f>
        <v>0.4017604904</v>
      </c>
      <c r="I16" s="17"/>
      <c r="J16" s="41">
        <f>Life!T2</f>
        <v>0.2190189203</v>
      </c>
      <c r="K16" s="21">
        <v>0.0</v>
      </c>
      <c r="L16" s="42">
        <v>0.0</v>
      </c>
      <c r="M16" s="42">
        <v>10.0</v>
      </c>
      <c r="N16" s="42">
        <v>2.0</v>
      </c>
      <c r="O16" s="43">
        <v>0.0</v>
      </c>
    </row>
    <row r="17">
      <c r="A17" s="44"/>
      <c r="B17" s="45" t="s">
        <v>19</v>
      </c>
      <c r="C17" s="46"/>
      <c r="D17" s="46"/>
      <c r="E17" s="47"/>
      <c r="F17" s="47"/>
      <c r="G17" s="47"/>
      <c r="H17" s="48"/>
      <c r="I17" s="48"/>
      <c r="J17" s="47"/>
      <c r="K17" s="49"/>
      <c r="L17" s="50"/>
      <c r="M17" s="50"/>
      <c r="N17" s="50"/>
      <c r="O17" s="51"/>
    </row>
    <row r="18">
      <c r="A18" s="34"/>
      <c r="B18" s="35"/>
      <c r="C18" s="17"/>
      <c r="D18" s="17"/>
      <c r="E18" s="17"/>
      <c r="F18" s="17"/>
      <c r="G18" s="17"/>
      <c r="H18" s="36"/>
      <c r="I18" s="36"/>
      <c r="J18" s="17"/>
      <c r="K18" s="17"/>
    </row>
    <row r="19">
      <c r="A19" s="34" t="s">
        <v>28</v>
      </c>
      <c r="B19" s="35"/>
      <c r="C19" s="17"/>
      <c r="D19" s="17"/>
      <c r="E19" s="17"/>
      <c r="F19" s="17"/>
      <c r="G19" s="17"/>
      <c r="H19" s="36"/>
      <c r="I19" s="36"/>
      <c r="J19" s="17"/>
      <c r="K19" s="17"/>
    </row>
    <row r="20">
      <c r="A20" s="34"/>
      <c r="B20" s="35" t="s">
        <v>29</v>
      </c>
      <c r="C20" s="17"/>
      <c r="D20" s="17"/>
      <c r="E20" s="17"/>
      <c r="F20" s="17"/>
      <c r="G20" s="17"/>
      <c r="H20" s="36"/>
      <c r="I20" s="36"/>
      <c r="J20" s="17"/>
      <c r="K20" s="17"/>
    </row>
    <row r="21">
      <c r="A21" s="34"/>
      <c r="B21" s="35" t="s">
        <v>30</v>
      </c>
      <c r="C21" s="17"/>
      <c r="D21" s="17"/>
      <c r="E21" s="17"/>
      <c r="F21" s="17"/>
      <c r="G21" s="17"/>
      <c r="H21" s="36"/>
      <c r="I21" s="36"/>
      <c r="J21" s="17"/>
      <c r="K21" s="17"/>
    </row>
    <row r="22">
      <c r="A22" s="34"/>
      <c r="B22" s="35" t="s">
        <v>31</v>
      </c>
      <c r="C22" s="17"/>
      <c r="D22" s="17"/>
      <c r="E22" s="17"/>
      <c r="F22" s="17"/>
      <c r="G22" s="17"/>
      <c r="H22" s="36"/>
      <c r="I22" s="36"/>
      <c r="J22" s="17"/>
      <c r="K22" s="17"/>
    </row>
    <row r="23">
      <c r="A23" s="34"/>
      <c r="B23" s="35" t="s">
        <v>32</v>
      </c>
      <c r="C23" s="17"/>
      <c r="D23" s="17"/>
      <c r="E23" s="17"/>
      <c r="F23" s="17"/>
      <c r="G23" s="17"/>
      <c r="H23" s="36"/>
      <c r="I23" s="36"/>
      <c r="J23" s="17"/>
      <c r="K23" s="17"/>
    </row>
    <row r="24">
      <c r="A24" s="34"/>
      <c r="B24" s="35" t="s">
        <v>33</v>
      </c>
      <c r="C24" s="17"/>
      <c r="D24" s="17"/>
      <c r="E24" s="17"/>
      <c r="F24" s="17"/>
      <c r="G24" s="17"/>
      <c r="H24" s="36"/>
      <c r="I24" s="36"/>
      <c r="J24" s="17"/>
      <c r="K24" s="17"/>
    </row>
    <row r="25">
      <c r="A25" s="34"/>
      <c r="B25" s="35"/>
      <c r="C25" s="17"/>
      <c r="D25" s="17"/>
      <c r="E25" s="17"/>
      <c r="F25" s="17"/>
      <c r="G25" s="17"/>
      <c r="H25" s="36"/>
      <c r="I25" s="36"/>
      <c r="J25" s="17"/>
      <c r="K25" s="17"/>
    </row>
    <row r="26">
      <c r="A26" s="34"/>
      <c r="B26" s="35"/>
      <c r="C26" s="17"/>
      <c r="D26" s="17"/>
      <c r="E26" s="17"/>
      <c r="F26" s="17"/>
      <c r="G26" s="17"/>
      <c r="H26" s="36"/>
      <c r="I26" s="36"/>
      <c r="J26" s="17"/>
      <c r="K26" s="17"/>
    </row>
    <row r="27">
      <c r="A27" s="34"/>
      <c r="B27" s="35"/>
      <c r="C27" s="17"/>
      <c r="D27" s="17"/>
      <c r="E27" s="17"/>
      <c r="F27" s="17"/>
      <c r="G27" s="17"/>
      <c r="H27" s="36"/>
      <c r="I27" s="36"/>
      <c r="J27" s="17"/>
      <c r="K27" s="17"/>
    </row>
    <row r="28">
      <c r="A28" s="34"/>
      <c r="B28" s="35"/>
      <c r="C28" s="17"/>
      <c r="D28" s="17"/>
      <c r="E28" s="17"/>
      <c r="F28" s="17"/>
      <c r="G28" s="17"/>
      <c r="H28" s="36"/>
      <c r="I28" s="36"/>
      <c r="J28" s="17"/>
      <c r="K28" s="17"/>
    </row>
    <row r="29">
      <c r="A29" s="34"/>
      <c r="B29" s="35"/>
      <c r="C29" s="17"/>
      <c r="D29" s="17"/>
      <c r="E29" s="17"/>
      <c r="F29" s="17"/>
      <c r="G29" s="17"/>
      <c r="H29" s="36"/>
      <c r="I29" s="36"/>
      <c r="J29" s="17"/>
      <c r="K29" s="17"/>
    </row>
    <row r="30">
      <c r="B30" s="52"/>
      <c r="C30" s="53"/>
      <c r="D30" s="53"/>
      <c r="E30" s="53"/>
      <c r="F30" s="53"/>
      <c r="G30" s="53"/>
      <c r="H30" s="53"/>
      <c r="I30" s="53"/>
      <c r="J30" s="53"/>
      <c r="K30" s="53"/>
    </row>
    <row r="31">
      <c r="B31" s="52"/>
      <c r="C31" s="53"/>
      <c r="D31" s="53"/>
      <c r="E31" s="53"/>
      <c r="F31" s="53"/>
      <c r="G31" s="53"/>
      <c r="H31" s="53"/>
      <c r="I31" s="53"/>
      <c r="J31" s="53"/>
      <c r="K31" s="53"/>
    </row>
    <row r="32">
      <c r="B32" s="52"/>
      <c r="C32" s="53"/>
      <c r="D32" s="53"/>
      <c r="E32" s="53"/>
      <c r="F32" s="53"/>
      <c r="G32" s="53"/>
      <c r="H32" s="53"/>
      <c r="I32" s="53"/>
      <c r="J32" s="53"/>
      <c r="K32" s="53"/>
    </row>
    <row r="33">
      <c r="B33" s="52"/>
      <c r="C33" s="53"/>
      <c r="D33" s="53"/>
      <c r="E33" s="53"/>
      <c r="F33" s="53"/>
      <c r="G33" s="53"/>
      <c r="H33" s="53"/>
      <c r="I33" s="53"/>
      <c r="J33" s="53"/>
      <c r="K33" s="53"/>
    </row>
    <row r="34">
      <c r="B34" s="52"/>
      <c r="C34" s="53"/>
      <c r="D34" s="53"/>
      <c r="E34" s="53"/>
      <c r="F34" s="53"/>
      <c r="G34" s="53"/>
      <c r="H34" s="53"/>
      <c r="I34" s="53"/>
      <c r="J34" s="53"/>
      <c r="K34" s="53"/>
    </row>
    <row r="35">
      <c r="B35" s="52"/>
      <c r="C35" s="53"/>
      <c r="D35" s="53"/>
      <c r="E35" s="53"/>
      <c r="F35" s="53"/>
      <c r="G35" s="53"/>
      <c r="H35" s="53"/>
      <c r="I35" s="53"/>
      <c r="J35" s="53"/>
      <c r="K35" s="53"/>
    </row>
    <row r="36">
      <c r="B36" s="52"/>
      <c r="C36" s="53"/>
      <c r="D36" s="53"/>
      <c r="E36" s="53"/>
      <c r="F36" s="53"/>
      <c r="G36" s="53"/>
      <c r="H36" s="53"/>
      <c r="I36" s="53"/>
      <c r="J36" s="53"/>
      <c r="K36" s="53"/>
    </row>
    <row r="37">
      <c r="B37" s="52"/>
      <c r="C37" s="53"/>
      <c r="D37" s="53"/>
      <c r="E37" s="53"/>
      <c r="F37" s="53"/>
      <c r="G37" s="53"/>
      <c r="H37" s="53"/>
      <c r="I37" s="53"/>
      <c r="J37" s="53"/>
      <c r="K37" s="53"/>
    </row>
    <row r="38">
      <c r="B38" s="52"/>
      <c r="C38" s="53"/>
      <c r="D38" s="53"/>
      <c r="E38" s="53"/>
      <c r="F38" s="53"/>
      <c r="G38" s="53"/>
      <c r="H38" s="53"/>
      <c r="I38" s="53"/>
      <c r="J38" s="53"/>
      <c r="K38" s="53"/>
    </row>
    <row r="39">
      <c r="B39" s="52"/>
      <c r="C39" s="53"/>
      <c r="D39" s="53"/>
      <c r="E39" s="53"/>
      <c r="F39" s="53"/>
      <c r="G39" s="53"/>
      <c r="H39" s="53"/>
      <c r="I39" s="53"/>
      <c r="J39" s="53"/>
      <c r="K39" s="53"/>
    </row>
    <row r="40">
      <c r="B40" s="52"/>
      <c r="C40" s="53"/>
      <c r="D40" s="53"/>
      <c r="E40" s="53"/>
      <c r="F40" s="53"/>
      <c r="G40" s="53"/>
      <c r="H40" s="53"/>
      <c r="I40" s="53"/>
      <c r="J40" s="53"/>
      <c r="K40" s="53"/>
    </row>
    <row r="41">
      <c r="B41" s="52"/>
      <c r="C41" s="53"/>
      <c r="D41" s="53"/>
      <c r="E41" s="53"/>
      <c r="F41" s="53"/>
      <c r="G41" s="53"/>
      <c r="H41" s="53"/>
      <c r="I41" s="53"/>
      <c r="J41" s="53"/>
      <c r="K41" s="53"/>
    </row>
    <row r="42">
      <c r="B42" s="52"/>
      <c r="C42" s="53"/>
      <c r="D42" s="53"/>
      <c r="E42" s="53"/>
      <c r="F42" s="53"/>
      <c r="G42" s="53"/>
      <c r="H42" s="53"/>
      <c r="I42" s="53"/>
      <c r="J42" s="53"/>
      <c r="K42" s="53"/>
    </row>
    <row r="43">
      <c r="B43" s="52"/>
      <c r="C43" s="53"/>
      <c r="D43" s="53"/>
      <c r="E43" s="53"/>
      <c r="F43" s="53"/>
      <c r="G43" s="53"/>
      <c r="H43" s="53"/>
      <c r="I43" s="53"/>
      <c r="J43" s="53"/>
      <c r="K43" s="53"/>
    </row>
    <row r="44">
      <c r="B44" s="52"/>
      <c r="C44" s="53"/>
      <c r="D44" s="53"/>
      <c r="E44" s="53"/>
      <c r="F44" s="53"/>
      <c r="G44" s="53"/>
      <c r="H44" s="53"/>
      <c r="I44" s="53"/>
      <c r="J44" s="53"/>
      <c r="K44" s="53"/>
    </row>
    <row r="45">
      <c r="B45" s="52"/>
      <c r="C45" s="53"/>
      <c r="D45" s="53"/>
      <c r="E45" s="53"/>
      <c r="F45" s="53"/>
      <c r="G45" s="53"/>
      <c r="H45" s="53"/>
      <c r="I45" s="53"/>
      <c r="J45" s="53"/>
      <c r="K45" s="53"/>
    </row>
    <row r="46">
      <c r="B46" s="52"/>
      <c r="C46" s="53"/>
      <c r="D46" s="53"/>
      <c r="E46" s="53"/>
      <c r="F46" s="53"/>
      <c r="G46" s="53"/>
      <c r="H46" s="53"/>
      <c r="I46" s="53"/>
      <c r="J46" s="53"/>
      <c r="K46" s="53"/>
    </row>
    <row r="47">
      <c r="B47" s="52"/>
      <c r="C47" s="53"/>
      <c r="D47" s="53"/>
      <c r="E47" s="53"/>
      <c r="F47" s="53"/>
      <c r="G47" s="53"/>
      <c r="H47" s="53"/>
      <c r="I47" s="53"/>
      <c r="J47" s="53"/>
      <c r="K47" s="53"/>
    </row>
    <row r="48">
      <c r="B48" s="52"/>
      <c r="C48" s="53"/>
      <c r="D48" s="53"/>
      <c r="E48" s="53"/>
      <c r="F48" s="53"/>
      <c r="G48" s="53"/>
      <c r="H48" s="53"/>
      <c r="I48" s="53"/>
      <c r="J48" s="53"/>
      <c r="K48" s="53"/>
    </row>
    <row r="49">
      <c r="B49" s="52"/>
      <c r="C49" s="53"/>
      <c r="D49" s="53"/>
      <c r="E49" s="53"/>
      <c r="F49" s="53"/>
      <c r="G49" s="53"/>
      <c r="H49" s="53"/>
      <c r="I49" s="53"/>
      <c r="J49" s="53"/>
      <c r="K49" s="53"/>
    </row>
    <row r="50">
      <c r="B50" s="52"/>
      <c r="C50" s="53"/>
      <c r="D50" s="53"/>
      <c r="E50" s="53"/>
      <c r="F50" s="53"/>
      <c r="G50" s="53"/>
      <c r="H50" s="53"/>
      <c r="I50" s="53"/>
      <c r="J50" s="53"/>
      <c r="K50" s="53"/>
    </row>
    <row r="51">
      <c r="B51" s="52"/>
      <c r="C51" s="53"/>
      <c r="D51" s="53"/>
      <c r="E51" s="53"/>
      <c r="F51" s="53"/>
      <c r="G51" s="53"/>
      <c r="H51" s="53"/>
      <c r="I51" s="53"/>
      <c r="J51" s="53"/>
      <c r="K51" s="53"/>
    </row>
    <row r="52">
      <c r="B52" s="52"/>
      <c r="C52" s="53"/>
      <c r="D52" s="53"/>
      <c r="E52" s="53"/>
      <c r="F52" s="53"/>
      <c r="G52" s="53"/>
      <c r="H52" s="53"/>
      <c r="I52" s="53"/>
      <c r="J52" s="53"/>
      <c r="K52" s="53"/>
    </row>
    <row r="53">
      <c r="B53" s="52"/>
      <c r="C53" s="53"/>
      <c r="D53" s="53"/>
      <c r="E53" s="53"/>
      <c r="F53" s="53"/>
      <c r="G53" s="53"/>
      <c r="H53" s="53"/>
      <c r="I53" s="53"/>
      <c r="J53" s="53"/>
      <c r="K53" s="53"/>
    </row>
    <row r="54">
      <c r="B54" s="52"/>
      <c r="C54" s="53"/>
      <c r="D54" s="53"/>
      <c r="E54" s="53"/>
      <c r="F54" s="53"/>
      <c r="G54" s="53"/>
      <c r="H54" s="53"/>
      <c r="I54" s="53"/>
      <c r="J54" s="53"/>
      <c r="K54" s="53"/>
    </row>
    <row r="55">
      <c r="B55" s="52"/>
      <c r="C55" s="53"/>
      <c r="D55" s="53"/>
      <c r="E55" s="53"/>
      <c r="F55" s="53"/>
      <c r="G55" s="53"/>
      <c r="H55" s="53"/>
      <c r="I55" s="53"/>
      <c r="J55" s="53"/>
      <c r="K55" s="53"/>
    </row>
    <row r="56">
      <c r="B56" s="52"/>
      <c r="C56" s="53"/>
      <c r="D56" s="53"/>
      <c r="E56" s="53"/>
      <c r="F56" s="53"/>
      <c r="G56" s="53"/>
      <c r="H56" s="53"/>
      <c r="I56" s="53"/>
      <c r="J56" s="53"/>
      <c r="K56" s="53"/>
    </row>
    <row r="57">
      <c r="B57" s="52"/>
      <c r="C57" s="53"/>
      <c r="D57" s="53"/>
      <c r="E57" s="53"/>
      <c r="F57" s="53"/>
      <c r="G57" s="53"/>
      <c r="H57" s="53"/>
      <c r="I57" s="53"/>
      <c r="J57" s="53"/>
      <c r="K57" s="53"/>
    </row>
    <row r="58">
      <c r="B58" s="52"/>
      <c r="C58" s="53"/>
      <c r="D58" s="53"/>
      <c r="E58" s="53"/>
      <c r="F58" s="53"/>
      <c r="G58" s="53"/>
      <c r="H58" s="53"/>
      <c r="I58" s="53"/>
      <c r="J58" s="53"/>
      <c r="K58" s="53"/>
    </row>
    <row r="59">
      <c r="B59" s="52"/>
      <c r="C59" s="53"/>
      <c r="D59" s="53"/>
      <c r="E59" s="53"/>
      <c r="F59" s="53"/>
      <c r="G59" s="53"/>
      <c r="H59" s="53"/>
      <c r="I59" s="53"/>
      <c r="J59" s="53"/>
      <c r="K59" s="53"/>
    </row>
    <row r="60">
      <c r="B60" s="52"/>
      <c r="C60" s="53"/>
      <c r="D60" s="53"/>
      <c r="E60" s="53"/>
      <c r="F60" s="53"/>
      <c r="G60" s="53"/>
      <c r="H60" s="53"/>
      <c r="I60" s="53"/>
      <c r="J60" s="53"/>
      <c r="K60" s="53"/>
    </row>
    <row r="61">
      <c r="B61" s="52"/>
      <c r="C61" s="53"/>
      <c r="D61" s="53"/>
      <c r="E61" s="53"/>
      <c r="F61" s="53"/>
      <c r="G61" s="53"/>
      <c r="H61" s="53"/>
      <c r="I61" s="53"/>
      <c r="J61" s="53"/>
      <c r="K61" s="53"/>
    </row>
    <row r="62">
      <c r="B62" s="52"/>
      <c r="C62" s="53"/>
      <c r="D62" s="53"/>
      <c r="E62" s="53"/>
      <c r="F62" s="53"/>
      <c r="G62" s="53"/>
      <c r="H62" s="53"/>
      <c r="I62" s="53"/>
      <c r="J62" s="53"/>
      <c r="K62" s="53"/>
    </row>
    <row r="63">
      <c r="B63" s="52"/>
      <c r="C63" s="53"/>
      <c r="D63" s="53"/>
      <c r="E63" s="53"/>
      <c r="F63" s="53"/>
      <c r="G63" s="53"/>
      <c r="H63" s="53"/>
      <c r="I63" s="53"/>
      <c r="J63" s="53"/>
      <c r="K63" s="53"/>
    </row>
    <row r="64">
      <c r="B64" s="52"/>
      <c r="C64" s="53"/>
      <c r="D64" s="53"/>
      <c r="E64" s="53"/>
      <c r="F64" s="53"/>
      <c r="G64" s="53"/>
      <c r="H64" s="53"/>
      <c r="I64" s="53"/>
      <c r="J64" s="53"/>
      <c r="K64" s="53"/>
    </row>
    <row r="65">
      <c r="B65" s="52"/>
      <c r="C65" s="53"/>
      <c r="D65" s="53"/>
      <c r="E65" s="53"/>
      <c r="F65" s="53"/>
      <c r="G65" s="53"/>
      <c r="H65" s="53"/>
      <c r="I65" s="53"/>
      <c r="J65" s="53"/>
      <c r="K65" s="53"/>
    </row>
    <row r="66">
      <c r="B66" s="52"/>
      <c r="C66" s="53"/>
      <c r="D66" s="53"/>
      <c r="E66" s="53"/>
      <c r="F66" s="53"/>
      <c r="G66" s="53"/>
      <c r="H66" s="53"/>
      <c r="I66" s="53"/>
      <c r="J66" s="53"/>
      <c r="K66" s="53"/>
    </row>
    <row r="67">
      <c r="B67" s="52"/>
      <c r="C67" s="53"/>
      <c r="D67" s="53"/>
      <c r="E67" s="53"/>
      <c r="F67" s="53"/>
      <c r="G67" s="53"/>
      <c r="H67" s="53"/>
      <c r="I67" s="53"/>
      <c r="J67" s="53"/>
      <c r="K67" s="53"/>
    </row>
    <row r="68">
      <c r="B68" s="52"/>
      <c r="C68" s="53"/>
      <c r="D68" s="53"/>
      <c r="E68" s="53"/>
      <c r="F68" s="53"/>
      <c r="G68" s="53"/>
      <c r="H68" s="53"/>
      <c r="I68" s="53"/>
      <c r="J68" s="53"/>
      <c r="K68" s="53"/>
    </row>
    <row r="69">
      <c r="B69" s="52"/>
      <c r="C69" s="53"/>
      <c r="D69" s="53"/>
      <c r="E69" s="53"/>
      <c r="F69" s="53"/>
      <c r="G69" s="53"/>
      <c r="H69" s="53"/>
      <c r="I69" s="53"/>
      <c r="J69" s="53"/>
      <c r="K69" s="53"/>
    </row>
    <row r="70">
      <c r="B70" s="52"/>
      <c r="C70" s="53"/>
      <c r="D70" s="53"/>
      <c r="E70" s="53"/>
      <c r="F70" s="53"/>
      <c r="G70" s="53"/>
      <c r="H70" s="53"/>
      <c r="I70" s="53"/>
      <c r="J70" s="53"/>
      <c r="K70" s="53"/>
    </row>
    <row r="71">
      <c r="B71" s="52"/>
      <c r="C71" s="53"/>
      <c r="D71" s="53"/>
      <c r="E71" s="53"/>
      <c r="F71" s="53"/>
      <c r="G71" s="53"/>
      <c r="H71" s="53"/>
      <c r="I71" s="53"/>
      <c r="J71" s="53"/>
      <c r="K71" s="53"/>
    </row>
    <row r="72">
      <c r="B72" s="52"/>
      <c r="C72" s="53"/>
      <c r="D72" s="53"/>
      <c r="E72" s="53"/>
      <c r="F72" s="53"/>
      <c r="G72" s="53"/>
      <c r="H72" s="53"/>
      <c r="I72" s="53"/>
      <c r="J72" s="53"/>
      <c r="K72" s="53"/>
    </row>
    <row r="73">
      <c r="B73" s="52"/>
      <c r="C73" s="53"/>
      <c r="D73" s="53"/>
      <c r="E73" s="53"/>
      <c r="F73" s="53"/>
      <c r="G73" s="53"/>
      <c r="H73" s="53"/>
      <c r="I73" s="53"/>
      <c r="J73" s="53"/>
      <c r="K73" s="53"/>
    </row>
    <row r="74">
      <c r="B74" s="52"/>
      <c r="C74" s="53"/>
      <c r="D74" s="53"/>
      <c r="E74" s="53"/>
      <c r="F74" s="53"/>
      <c r="G74" s="53"/>
      <c r="H74" s="53"/>
      <c r="I74" s="53"/>
      <c r="J74" s="53"/>
      <c r="K74" s="53"/>
    </row>
    <row r="75">
      <c r="B75" s="52"/>
      <c r="C75" s="53"/>
      <c r="D75" s="53"/>
      <c r="E75" s="53"/>
      <c r="F75" s="53"/>
      <c r="G75" s="53"/>
      <c r="H75" s="53"/>
      <c r="I75" s="53"/>
      <c r="J75" s="53"/>
      <c r="K75" s="53"/>
    </row>
    <row r="76">
      <c r="B76" s="52"/>
      <c r="C76" s="53"/>
      <c r="D76" s="53"/>
      <c r="E76" s="53"/>
      <c r="F76" s="53"/>
      <c r="G76" s="53"/>
      <c r="H76" s="53"/>
      <c r="I76" s="53"/>
      <c r="J76" s="53"/>
      <c r="K76" s="53"/>
    </row>
    <row r="77">
      <c r="B77" s="52"/>
      <c r="C77" s="53"/>
      <c r="D77" s="53"/>
      <c r="E77" s="53"/>
      <c r="F77" s="53"/>
      <c r="G77" s="53"/>
      <c r="H77" s="53"/>
      <c r="I77" s="53"/>
      <c r="J77" s="53"/>
      <c r="K77" s="53"/>
    </row>
    <row r="78">
      <c r="B78" s="52"/>
      <c r="C78" s="53"/>
      <c r="D78" s="53"/>
      <c r="E78" s="53"/>
      <c r="F78" s="53"/>
      <c r="G78" s="53"/>
      <c r="H78" s="53"/>
      <c r="I78" s="53"/>
      <c r="J78" s="53"/>
      <c r="K78" s="53"/>
    </row>
    <row r="79">
      <c r="B79" s="52"/>
      <c r="C79" s="53"/>
      <c r="D79" s="53"/>
      <c r="E79" s="53"/>
      <c r="F79" s="53"/>
      <c r="G79" s="53"/>
      <c r="H79" s="53"/>
      <c r="I79" s="53"/>
      <c r="J79" s="53"/>
      <c r="K79" s="53"/>
    </row>
    <row r="80">
      <c r="B80" s="52"/>
      <c r="C80" s="53"/>
      <c r="D80" s="53"/>
      <c r="E80" s="53"/>
      <c r="F80" s="53"/>
      <c r="G80" s="53"/>
      <c r="H80" s="53"/>
      <c r="I80" s="53"/>
      <c r="J80" s="53"/>
      <c r="K80" s="53"/>
    </row>
    <row r="81">
      <c r="B81" s="52"/>
      <c r="C81" s="53"/>
      <c r="D81" s="53"/>
      <c r="E81" s="53"/>
      <c r="F81" s="53"/>
      <c r="G81" s="53"/>
      <c r="H81" s="53"/>
      <c r="I81" s="53"/>
      <c r="J81" s="53"/>
      <c r="K81" s="53"/>
    </row>
    <row r="82">
      <c r="B82" s="52"/>
      <c r="C82" s="53"/>
      <c r="D82" s="53"/>
      <c r="E82" s="53"/>
      <c r="F82" s="53"/>
      <c r="G82" s="53"/>
      <c r="H82" s="53"/>
      <c r="I82" s="53"/>
      <c r="J82" s="53"/>
      <c r="K82" s="53"/>
    </row>
    <row r="83">
      <c r="B83" s="52"/>
      <c r="C83" s="53"/>
      <c r="D83" s="53"/>
      <c r="E83" s="53"/>
      <c r="F83" s="53"/>
      <c r="G83" s="53"/>
      <c r="H83" s="53"/>
      <c r="I83" s="53"/>
      <c r="J83" s="53"/>
      <c r="K83" s="53"/>
    </row>
    <row r="84">
      <c r="B84" s="52"/>
      <c r="C84" s="53"/>
      <c r="D84" s="53"/>
      <c r="E84" s="53"/>
      <c r="F84" s="53"/>
      <c r="G84" s="53"/>
      <c r="H84" s="53"/>
      <c r="I84" s="53"/>
      <c r="J84" s="53"/>
      <c r="K84" s="53"/>
    </row>
    <row r="85">
      <c r="B85" s="52"/>
      <c r="C85" s="53"/>
      <c r="D85" s="53"/>
      <c r="E85" s="53"/>
      <c r="F85" s="53"/>
      <c r="G85" s="53"/>
      <c r="H85" s="53"/>
      <c r="I85" s="53"/>
      <c r="J85" s="53"/>
      <c r="K85" s="53"/>
    </row>
    <row r="86">
      <c r="B86" s="52"/>
      <c r="C86" s="53"/>
      <c r="D86" s="53"/>
      <c r="E86" s="53"/>
      <c r="F86" s="53"/>
      <c r="G86" s="53"/>
      <c r="H86" s="53"/>
      <c r="I86" s="53"/>
      <c r="J86" s="53"/>
      <c r="K86" s="53"/>
    </row>
    <row r="87">
      <c r="B87" s="52"/>
      <c r="C87" s="53"/>
      <c r="D87" s="53"/>
      <c r="E87" s="53"/>
      <c r="F87" s="53"/>
      <c r="G87" s="53"/>
      <c r="H87" s="53"/>
      <c r="I87" s="53"/>
      <c r="J87" s="53"/>
      <c r="K87" s="53"/>
    </row>
    <row r="88">
      <c r="B88" s="52"/>
      <c r="C88" s="53"/>
      <c r="D88" s="53"/>
      <c r="E88" s="53"/>
      <c r="F88" s="53"/>
      <c r="G88" s="53"/>
      <c r="H88" s="53"/>
      <c r="I88" s="53"/>
      <c r="J88" s="53"/>
      <c r="K88" s="53"/>
    </row>
    <row r="89">
      <c r="B89" s="52"/>
      <c r="C89" s="53"/>
      <c r="D89" s="53"/>
      <c r="E89" s="53"/>
      <c r="F89" s="53"/>
      <c r="G89" s="53"/>
      <c r="H89" s="53"/>
      <c r="I89" s="53"/>
      <c r="J89" s="53"/>
      <c r="K89" s="53"/>
    </row>
    <row r="90">
      <c r="B90" s="52"/>
      <c r="C90" s="53"/>
      <c r="D90" s="53"/>
      <c r="E90" s="53"/>
      <c r="F90" s="53"/>
      <c r="G90" s="53"/>
      <c r="H90" s="53"/>
      <c r="I90" s="53"/>
      <c r="J90" s="53"/>
      <c r="K90" s="53"/>
    </row>
    <row r="91">
      <c r="B91" s="52"/>
      <c r="C91" s="53"/>
      <c r="D91" s="53"/>
      <c r="E91" s="53"/>
      <c r="F91" s="53"/>
      <c r="G91" s="53"/>
      <c r="H91" s="53"/>
      <c r="I91" s="53"/>
      <c r="J91" s="53"/>
      <c r="K91" s="53"/>
    </row>
    <row r="92">
      <c r="B92" s="52"/>
      <c r="C92" s="53"/>
      <c r="D92" s="53"/>
      <c r="E92" s="53"/>
      <c r="F92" s="53"/>
      <c r="G92" s="53"/>
      <c r="H92" s="53"/>
      <c r="I92" s="53"/>
      <c r="J92" s="53"/>
      <c r="K92" s="53"/>
    </row>
    <row r="93">
      <c r="B93" s="52"/>
      <c r="C93" s="53"/>
      <c r="D93" s="53"/>
      <c r="E93" s="53"/>
      <c r="F93" s="53"/>
      <c r="G93" s="53"/>
      <c r="H93" s="53"/>
      <c r="I93" s="53"/>
      <c r="J93" s="53"/>
      <c r="K93" s="53"/>
    </row>
    <row r="94">
      <c r="B94" s="52"/>
      <c r="C94" s="53"/>
      <c r="D94" s="53"/>
      <c r="E94" s="53"/>
      <c r="F94" s="53"/>
      <c r="G94" s="53"/>
      <c r="H94" s="53"/>
      <c r="I94" s="53"/>
      <c r="J94" s="53"/>
      <c r="K94" s="53"/>
    </row>
    <row r="95">
      <c r="B95" s="52"/>
      <c r="C95" s="53"/>
      <c r="D95" s="53"/>
      <c r="E95" s="53"/>
      <c r="F95" s="53"/>
      <c r="G95" s="53"/>
      <c r="H95" s="53"/>
      <c r="I95" s="53"/>
      <c r="J95" s="53"/>
      <c r="K95" s="53"/>
    </row>
    <row r="96">
      <c r="B96" s="52"/>
      <c r="C96" s="53"/>
      <c r="D96" s="53"/>
      <c r="E96" s="53"/>
      <c r="F96" s="53"/>
      <c r="G96" s="53"/>
      <c r="H96" s="53"/>
      <c r="I96" s="53"/>
      <c r="J96" s="53"/>
      <c r="K96" s="53"/>
    </row>
    <row r="97">
      <c r="B97" s="52"/>
      <c r="C97" s="53"/>
      <c r="D97" s="53"/>
      <c r="E97" s="53"/>
      <c r="F97" s="53"/>
      <c r="G97" s="53"/>
      <c r="H97" s="53"/>
      <c r="I97" s="53"/>
      <c r="J97" s="53"/>
      <c r="K97" s="53"/>
    </row>
    <row r="98">
      <c r="B98" s="52"/>
      <c r="C98" s="53"/>
      <c r="D98" s="53"/>
      <c r="E98" s="53"/>
      <c r="F98" s="53"/>
      <c r="G98" s="53"/>
      <c r="H98" s="53"/>
      <c r="I98" s="53"/>
      <c r="J98" s="53"/>
      <c r="K98" s="53"/>
    </row>
    <row r="99">
      <c r="B99" s="52"/>
      <c r="C99" s="53"/>
      <c r="D99" s="53"/>
      <c r="E99" s="53"/>
      <c r="F99" s="53"/>
      <c r="G99" s="53"/>
      <c r="H99" s="53"/>
      <c r="I99" s="53"/>
      <c r="J99" s="53"/>
      <c r="K99" s="53"/>
    </row>
    <row r="100">
      <c r="B100" s="52"/>
      <c r="C100" s="53"/>
      <c r="D100" s="53"/>
      <c r="E100" s="53"/>
      <c r="F100" s="53"/>
      <c r="G100" s="53"/>
      <c r="H100" s="53"/>
      <c r="I100" s="53"/>
      <c r="J100" s="53"/>
      <c r="K100" s="53"/>
    </row>
    <row r="101">
      <c r="B101" s="52"/>
      <c r="C101" s="53"/>
      <c r="D101" s="53"/>
      <c r="E101" s="53"/>
      <c r="F101" s="53"/>
      <c r="G101" s="53"/>
      <c r="H101" s="53"/>
      <c r="I101" s="53"/>
      <c r="J101" s="53"/>
      <c r="K101" s="53"/>
    </row>
    <row r="102">
      <c r="B102" s="52"/>
      <c r="C102" s="53"/>
      <c r="D102" s="53"/>
      <c r="E102" s="53"/>
      <c r="F102" s="53"/>
      <c r="G102" s="53"/>
      <c r="H102" s="53"/>
      <c r="I102" s="53"/>
      <c r="J102" s="53"/>
      <c r="K102" s="53"/>
    </row>
    <row r="103">
      <c r="B103" s="52"/>
      <c r="C103" s="53"/>
      <c r="D103" s="53"/>
      <c r="E103" s="53"/>
      <c r="F103" s="53"/>
      <c r="G103" s="53"/>
      <c r="H103" s="53"/>
      <c r="I103" s="53"/>
      <c r="J103" s="53"/>
      <c r="K103" s="53"/>
    </row>
    <row r="104">
      <c r="B104" s="52"/>
      <c r="C104" s="53"/>
      <c r="D104" s="53"/>
      <c r="E104" s="53"/>
      <c r="F104" s="53"/>
      <c r="G104" s="53"/>
      <c r="H104" s="53"/>
      <c r="I104" s="53"/>
      <c r="J104" s="53"/>
      <c r="K104" s="53"/>
    </row>
    <row r="105">
      <c r="B105" s="52"/>
      <c r="C105" s="53"/>
      <c r="D105" s="53"/>
      <c r="E105" s="53"/>
      <c r="F105" s="53"/>
      <c r="G105" s="53"/>
      <c r="H105" s="53"/>
      <c r="I105" s="53"/>
      <c r="J105" s="53"/>
      <c r="K105" s="53"/>
    </row>
    <row r="106">
      <c r="B106" s="52"/>
      <c r="C106" s="53"/>
      <c r="D106" s="53"/>
      <c r="E106" s="53"/>
      <c r="F106" s="53"/>
      <c r="G106" s="53"/>
      <c r="H106" s="53"/>
      <c r="I106" s="53"/>
      <c r="J106" s="53"/>
      <c r="K106" s="53"/>
    </row>
    <row r="107">
      <c r="B107" s="52"/>
      <c r="C107" s="53"/>
      <c r="D107" s="53"/>
      <c r="E107" s="53"/>
      <c r="F107" s="53"/>
      <c r="G107" s="53"/>
      <c r="H107" s="53"/>
      <c r="I107" s="53"/>
      <c r="J107" s="53"/>
      <c r="K107" s="53"/>
    </row>
    <row r="108">
      <c r="B108" s="52"/>
      <c r="C108" s="53"/>
      <c r="D108" s="53"/>
      <c r="E108" s="53"/>
      <c r="F108" s="53"/>
      <c r="G108" s="53"/>
      <c r="H108" s="53"/>
      <c r="I108" s="53"/>
      <c r="J108" s="53"/>
      <c r="K108" s="53"/>
    </row>
    <row r="109">
      <c r="B109" s="52"/>
      <c r="C109" s="53"/>
      <c r="D109" s="53"/>
      <c r="E109" s="53"/>
      <c r="F109" s="53"/>
      <c r="G109" s="53"/>
      <c r="H109" s="53"/>
      <c r="I109" s="53"/>
      <c r="J109" s="53"/>
      <c r="K109" s="53"/>
    </row>
    <row r="110">
      <c r="B110" s="52"/>
      <c r="C110" s="53"/>
      <c r="D110" s="53"/>
      <c r="E110" s="53"/>
      <c r="F110" s="53"/>
      <c r="G110" s="53"/>
      <c r="H110" s="53"/>
      <c r="I110" s="53"/>
      <c r="J110" s="53"/>
      <c r="K110" s="53"/>
    </row>
    <row r="111">
      <c r="B111" s="52"/>
      <c r="C111" s="53"/>
      <c r="D111" s="53"/>
      <c r="E111" s="53"/>
      <c r="F111" s="53"/>
      <c r="G111" s="53"/>
      <c r="H111" s="53"/>
      <c r="I111" s="53"/>
      <c r="J111" s="53"/>
      <c r="K111" s="53"/>
    </row>
    <row r="112">
      <c r="B112" s="52"/>
      <c r="C112" s="53"/>
      <c r="D112" s="53"/>
      <c r="E112" s="53"/>
      <c r="F112" s="53"/>
      <c r="G112" s="53"/>
      <c r="H112" s="53"/>
      <c r="I112" s="53"/>
      <c r="J112" s="53"/>
      <c r="K112" s="53"/>
    </row>
    <row r="113">
      <c r="B113" s="52"/>
      <c r="C113" s="53"/>
      <c r="D113" s="53"/>
      <c r="E113" s="53"/>
      <c r="F113" s="53"/>
      <c r="G113" s="53"/>
      <c r="H113" s="53"/>
      <c r="I113" s="53"/>
      <c r="J113" s="53"/>
      <c r="K113" s="53"/>
    </row>
    <row r="114">
      <c r="B114" s="52"/>
      <c r="C114" s="53"/>
      <c r="D114" s="53"/>
      <c r="E114" s="53"/>
      <c r="F114" s="53"/>
      <c r="G114" s="53"/>
      <c r="H114" s="53"/>
      <c r="I114" s="53"/>
      <c r="J114" s="53"/>
      <c r="K114" s="53"/>
    </row>
    <row r="115">
      <c r="B115" s="52"/>
      <c r="C115" s="53"/>
      <c r="D115" s="53"/>
      <c r="E115" s="53"/>
      <c r="F115" s="53"/>
      <c r="G115" s="53"/>
      <c r="H115" s="53"/>
      <c r="I115" s="53"/>
      <c r="J115" s="53"/>
      <c r="K115" s="53"/>
    </row>
    <row r="116">
      <c r="B116" s="52"/>
      <c r="C116" s="53"/>
      <c r="D116" s="53"/>
      <c r="E116" s="53"/>
      <c r="F116" s="53"/>
      <c r="G116" s="53"/>
      <c r="H116" s="53"/>
      <c r="I116" s="53"/>
      <c r="J116" s="53"/>
      <c r="K116" s="53"/>
    </row>
    <row r="117">
      <c r="B117" s="52"/>
      <c r="C117" s="53"/>
      <c r="D117" s="53"/>
      <c r="E117" s="53"/>
      <c r="F117" s="53"/>
      <c r="G117" s="53"/>
      <c r="H117" s="53"/>
      <c r="I117" s="53"/>
      <c r="J117" s="53"/>
      <c r="K117" s="53"/>
    </row>
    <row r="118">
      <c r="B118" s="52"/>
      <c r="C118" s="53"/>
      <c r="D118" s="53"/>
      <c r="E118" s="53"/>
      <c r="F118" s="53"/>
      <c r="G118" s="53"/>
      <c r="H118" s="53"/>
      <c r="I118" s="53"/>
      <c r="J118" s="53"/>
      <c r="K118" s="53"/>
    </row>
    <row r="119">
      <c r="B119" s="52"/>
      <c r="C119" s="53"/>
      <c r="D119" s="53"/>
      <c r="E119" s="53"/>
      <c r="F119" s="53"/>
      <c r="G119" s="53"/>
      <c r="H119" s="53"/>
      <c r="I119" s="53"/>
      <c r="J119" s="53"/>
      <c r="K119" s="53"/>
    </row>
    <row r="120">
      <c r="B120" s="52"/>
      <c r="C120" s="53"/>
      <c r="D120" s="53"/>
      <c r="E120" s="53"/>
      <c r="F120" s="53"/>
      <c r="G120" s="53"/>
      <c r="H120" s="53"/>
      <c r="I120" s="53"/>
      <c r="J120" s="53"/>
      <c r="K120" s="53"/>
    </row>
    <row r="121">
      <c r="B121" s="52"/>
      <c r="C121" s="53"/>
      <c r="D121" s="53"/>
      <c r="E121" s="53"/>
      <c r="F121" s="53"/>
      <c r="G121" s="53"/>
      <c r="H121" s="53"/>
      <c r="I121" s="53"/>
      <c r="J121" s="53"/>
      <c r="K121" s="53"/>
    </row>
    <row r="122">
      <c r="B122" s="52"/>
      <c r="C122" s="53"/>
      <c r="D122" s="53"/>
      <c r="E122" s="53"/>
      <c r="F122" s="53"/>
      <c r="G122" s="53"/>
      <c r="H122" s="53"/>
      <c r="I122" s="53"/>
      <c r="J122" s="53"/>
      <c r="K122" s="53"/>
    </row>
    <row r="123">
      <c r="B123" s="52"/>
      <c r="C123" s="53"/>
      <c r="D123" s="53"/>
      <c r="E123" s="53"/>
      <c r="F123" s="53"/>
      <c r="G123" s="53"/>
      <c r="H123" s="53"/>
      <c r="I123" s="53"/>
      <c r="J123" s="53"/>
      <c r="K123" s="53"/>
    </row>
    <row r="124">
      <c r="B124" s="52"/>
      <c r="C124" s="53"/>
      <c r="D124" s="53"/>
      <c r="E124" s="53"/>
      <c r="F124" s="53"/>
      <c r="G124" s="53"/>
      <c r="H124" s="53"/>
      <c r="I124" s="53"/>
      <c r="J124" s="53"/>
      <c r="K124" s="53"/>
    </row>
    <row r="125">
      <c r="B125" s="52"/>
      <c r="C125" s="53"/>
      <c r="D125" s="53"/>
      <c r="E125" s="53"/>
      <c r="F125" s="53"/>
      <c r="G125" s="53"/>
      <c r="H125" s="53"/>
      <c r="I125" s="53"/>
      <c r="J125" s="53"/>
      <c r="K125" s="53"/>
    </row>
    <row r="126">
      <c r="B126" s="52"/>
      <c r="C126" s="53"/>
      <c r="D126" s="53"/>
      <c r="E126" s="53"/>
      <c r="F126" s="53"/>
      <c r="G126" s="53"/>
      <c r="H126" s="53"/>
      <c r="I126" s="53"/>
      <c r="J126" s="53"/>
      <c r="K126" s="53"/>
    </row>
    <row r="127">
      <c r="B127" s="52"/>
      <c r="C127" s="53"/>
      <c r="D127" s="53"/>
      <c r="E127" s="53"/>
      <c r="F127" s="53"/>
      <c r="G127" s="53"/>
      <c r="H127" s="53"/>
      <c r="I127" s="53"/>
      <c r="J127" s="53"/>
      <c r="K127" s="53"/>
    </row>
    <row r="128">
      <c r="B128" s="52"/>
      <c r="C128" s="53"/>
      <c r="D128" s="53"/>
      <c r="E128" s="53"/>
      <c r="F128" s="53"/>
      <c r="G128" s="53"/>
      <c r="H128" s="53"/>
      <c r="I128" s="53"/>
      <c r="J128" s="53"/>
      <c r="K128" s="53"/>
    </row>
    <row r="129">
      <c r="B129" s="52"/>
      <c r="C129" s="53"/>
      <c r="D129" s="53"/>
      <c r="E129" s="53"/>
      <c r="F129" s="53"/>
      <c r="G129" s="53"/>
      <c r="H129" s="53"/>
      <c r="I129" s="53"/>
      <c r="J129" s="53"/>
      <c r="K129" s="53"/>
    </row>
    <row r="130">
      <c r="B130" s="52"/>
      <c r="C130" s="53"/>
      <c r="D130" s="53"/>
      <c r="E130" s="53"/>
      <c r="F130" s="53"/>
      <c r="G130" s="53"/>
      <c r="H130" s="53"/>
      <c r="I130" s="53"/>
      <c r="J130" s="53"/>
      <c r="K130" s="53"/>
    </row>
    <row r="131">
      <c r="B131" s="52"/>
      <c r="C131" s="53"/>
      <c r="D131" s="53"/>
      <c r="E131" s="53"/>
      <c r="F131" s="53"/>
      <c r="G131" s="53"/>
      <c r="H131" s="53"/>
      <c r="I131" s="53"/>
      <c r="J131" s="53"/>
      <c r="K131" s="53"/>
    </row>
    <row r="132">
      <c r="B132" s="52"/>
      <c r="C132" s="53"/>
      <c r="D132" s="53"/>
      <c r="E132" s="53"/>
      <c r="F132" s="53"/>
      <c r="G132" s="53"/>
      <c r="H132" s="53"/>
      <c r="I132" s="53"/>
      <c r="J132" s="53"/>
      <c r="K132" s="53"/>
    </row>
    <row r="133">
      <c r="B133" s="52"/>
      <c r="C133" s="53"/>
      <c r="D133" s="53"/>
      <c r="E133" s="53"/>
      <c r="F133" s="53"/>
      <c r="G133" s="53"/>
      <c r="H133" s="53"/>
      <c r="I133" s="53"/>
      <c r="J133" s="53"/>
      <c r="K133" s="53"/>
    </row>
    <row r="134">
      <c r="B134" s="52"/>
      <c r="C134" s="53"/>
      <c r="D134" s="53"/>
      <c r="E134" s="53"/>
      <c r="F134" s="53"/>
      <c r="G134" s="53"/>
      <c r="H134" s="53"/>
      <c r="I134" s="53"/>
      <c r="J134" s="53"/>
      <c r="K134" s="53"/>
    </row>
    <row r="135">
      <c r="B135" s="52"/>
      <c r="C135" s="53"/>
      <c r="D135" s="53"/>
      <c r="E135" s="53"/>
      <c r="F135" s="53"/>
      <c r="G135" s="53"/>
      <c r="H135" s="53"/>
      <c r="I135" s="53"/>
      <c r="J135" s="53"/>
      <c r="K135" s="53"/>
    </row>
    <row r="136">
      <c r="B136" s="52"/>
      <c r="C136" s="53"/>
      <c r="D136" s="53"/>
      <c r="E136" s="53"/>
      <c r="F136" s="53"/>
      <c r="G136" s="53"/>
      <c r="H136" s="53"/>
      <c r="I136" s="53"/>
      <c r="J136" s="53"/>
      <c r="K136" s="53"/>
    </row>
    <row r="137">
      <c r="B137" s="52"/>
      <c r="C137" s="53"/>
      <c r="D137" s="53"/>
      <c r="E137" s="53"/>
      <c r="F137" s="53"/>
      <c r="G137" s="53"/>
      <c r="H137" s="53"/>
      <c r="I137" s="53"/>
      <c r="J137" s="53"/>
      <c r="K137" s="53"/>
    </row>
    <row r="138">
      <c r="B138" s="52"/>
      <c r="C138" s="53"/>
      <c r="D138" s="53"/>
      <c r="E138" s="53"/>
      <c r="F138" s="53"/>
      <c r="G138" s="53"/>
      <c r="H138" s="53"/>
      <c r="I138" s="53"/>
      <c r="J138" s="53"/>
      <c r="K138" s="53"/>
    </row>
    <row r="139">
      <c r="B139" s="52"/>
      <c r="C139" s="53"/>
      <c r="D139" s="53"/>
      <c r="E139" s="53"/>
      <c r="F139" s="53"/>
      <c r="G139" s="53"/>
      <c r="H139" s="53"/>
      <c r="I139" s="53"/>
      <c r="J139" s="53"/>
      <c r="K139" s="53"/>
    </row>
    <row r="140">
      <c r="B140" s="52"/>
      <c r="C140" s="53"/>
      <c r="D140" s="53"/>
      <c r="E140" s="53"/>
      <c r="F140" s="53"/>
      <c r="G140" s="53"/>
      <c r="H140" s="53"/>
      <c r="I140" s="53"/>
      <c r="J140" s="53"/>
      <c r="K140" s="53"/>
    </row>
    <row r="141">
      <c r="B141" s="52"/>
      <c r="C141" s="53"/>
      <c r="D141" s="53"/>
      <c r="E141" s="53"/>
      <c r="F141" s="53"/>
      <c r="G141" s="53"/>
      <c r="H141" s="53"/>
      <c r="I141" s="53"/>
      <c r="J141" s="53"/>
      <c r="K141" s="53"/>
    </row>
    <row r="142">
      <c r="B142" s="52"/>
      <c r="C142" s="53"/>
      <c r="D142" s="53"/>
      <c r="E142" s="53"/>
      <c r="F142" s="53"/>
      <c r="G142" s="53"/>
      <c r="H142" s="53"/>
      <c r="I142" s="53"/>
      <c r="J142" s="53"/>
      <c r="K142" s="53"/>
    </row>
    <row r="143">
      <c r="B143" s="52"/>
      <c r="C143" s="53"/>
      <c r="D143" s="53"/>
      <c r="E143" s="53"/>
      <c r="F143" s="53"/>
      <c r="G143" s="53"/>
      <c r="H143" s="53"/>
      <c r="I143" s="53"/>
      <c r="J143" s="53"/>
      <c r="K143" s="53"/>
    </row>
    <row r="144">
      <c r="B144" s="52"/>
      <c r="C144" s="53"/>
      <c r="D144" s="53"/>
      <c r="E144" s="53"/>
      <c r="F144" s="53"/>
      <c r="G144" s="53"/>
      <c r="H144" s="53"/>
      <c r="I144" s="53"/>
      <c r="J144" s="53"/>
      <c r="K144" s="53"/>
    </row>
    <row r="145">
      <c r="B145" s="52"/>
      <c r="C145" s="53"/>
      <c r="D145" s="53"/>
      <c r="E145" s="53"/>
      <c r="F145" s="53"/>
      <c r="G145" s="53"/>
      <c r="H145" s="53"/>
      <c r="I145" s="53"/>
      <c r="J145" s="53"/>
      <c r="K145" s="53"/>
    </row>
    <row r="146">
      <c r="B146" s="52"/>
      <c r="C146" s="53"/>
      <c r="D146" s="53"/>
      <c r="E146" s="53"/>
      <c r="F146" s="53"/>
      <c r="G146" s="53"/>
      <c r="H146" s="53"/>
      <c r="I146" s="53"/>
      <c r="J146" s="53"/>
      <c r="K146" s="53"/>
    </row>
    <row r="147">
      <c r="B147" s="52"/>
      <c r="C147" s="53"/>
      <c r="D147" s="53"/>
      <c r="E147" s="53"/>
      <c r="F147" s="53"/>
      <c r="G147" s="53"/>
      <c r="H147" s="53"/>
      <c r="I147" s="53"/>
      <c r="J147" s="53"/>
      <c r="K147" s="53"/>
    </row>
    <row r="148">
      <c r="B148" s="52"/>
      <c r="C148" s="53"/>
      <c r="D148" s="53"/>
      <c r="E148" s="53"/>
      <c r="F148" s="53"/>
      <c r="G148" s="53"/>
      <c r="H148" s="53"/>
      <c r="I148" s="53"/>
      <c r="J148" s="53"/>
      <c r="K148" s="53"/>
    </row>
    <row r="149">
      <c r="B149" s="52"/>
      <c r="C149" s="53"/>
      <c r="D149" s="53"/>
      <c r="E149" s="53"/>
      <c r="F149" s="53"/>
      <c r="G149" s="53"/>
      <c r="H149" s="53"/>
      <c r="I149" s="53"/>
      <c r="J149" s="53"/>
      <c r="K149" s="53"/>
    </row>
    <row r="150">
      <c r="B150" s="52"/>
      <c r="C150" s="53"/>
      <c r="D150" s="53"/>
      <c r="E150" s="53"/>
      <c r="F150" s="53"/>
      <c r="G150" s="53"/>
      <c r="H150" s="53"/>
      <c r="I150" s="53"/>
      <c r="J150" s="53"/>
      <c r="K150" s="53"/>
    </row>
    <row r="151">
      <c r="B151" s="52"/>
      <c r="C151" s="53"/>
      <c r="D151" s="53"/>
      <c r="E151" s="53"/>
      <c r="F151" s="53"/>
      <c r="G151" s="53"/>
      <c r="H151" s="53"/>
      <c r="I151" s="53"/>
      <c r="J151" s="53"/>
      <c r="K151" s="53"/>
    </row>
    <row r="152">
      <c r="B152" s="52"/>
      <c r="C152" s="53"/>
      <c r="D152" s="53"/>
      <c r="E152" s="53"/>
      <c r="F152" s="53"/>
      <c r="G152" s="53"/>
      <c r="H152" s="53"/>
      <c r="I152" s="53"/>
      <c r="J152" s="53"/>
      <c r="K152" s="53"/>
    </row>
    <row r="153">
      <c r="B153" s="52"/>
      <c r="C153" s="53"/>
      <c r="D153" s="53"/>
      <c r="E153" s="53"/>
      <c r="F153" s="53"/>
      <c r="G153" s="53"/>
      <c r="H153" s="53"/>
      <c r="I153" s="53"/>
      <c r="J153" s="53"/>
      <c r="K153" s="53"/>
    </row>
    <row r="154">
      <c r="B154" s="52"/>
      <c r="C154" s="53"/>
      <c r="D154" s="53"/>
      <c r="E154" s="53"/>
      <c r="F154" s="53"/>
      <c r="G154" s="53"/>
      <c r="H154" s="53"/>
      <c r="I154" s="53"/>
      <c r="J154" s="53"/>
      <c r="K154" s="53"/>
    </row>
    <row r="155">
      <c r="B155" s="52"/>
      <c r="C155" s="53"/>
      <c r="D155" s="53"/>
      <c r="E155" s="53"/>
      <c r="F155" s="53"/>
      <c r="G155" s="53"/>
      <c r="H155" s="53"/>
      <c r="I155" s="53"/>
      <c r="J155" s="53"/>
      <c r="K155" s="53"/>
    </row>
    <row r="156">
      <c r="B156" s="52"/>
      <c r="C156" s="53"/>
      <c r="D156" s="53"/>
      <c r="E156" s="53"/>
      <c r="F156" s="53"/>
      <c r="G156" s="53"/>
      <c r="H156" s="53"/>
      <c r="I156" s="53"/>
      <c r="J156" s="53"/>
      <c r="K156" s="53"/>
    </row>
    <row r="157">
      <c r="B157" s="52"/>
      <c r="C157" s="53"/>
      <c r="D157" s="53"/>
      <c r="E157" s="53"/>
      <c r="F157" s="53"/>
      <c r="G157" s="53"/>
      <c r="H157" s="53"/>
      <c r="I157" s="53"/>
      <c r="J157" s="53"/>
      <c r="K157" s="53"/>
    </row>
    <row r="158">
      <c r="B158" s="52"/>
      <c r="C158" s="53"/>
      <c r="D158" s="53"/>
      <c r="E158" s="53"/>
      <c r="F158" s="53"/>
      <c r="G158" s="53"/>
      <c r="H158" s="53"/>
      <c r="I158" s="53"/>
      <c r="J158" s="53"/>
      <c r="K158" s="53"/>
    </row>
    <row r="159">
      <c r="B159" s="52"/>
      <c r="C159" s="53"/>
      <c r="D159" s="53"/>
      <c r="E159" s="53"/>
      <c r="F159" s="53"/>
      <c r="G159" s="53"/>
      <c r="H159" s="53"/>
      <c r="I159" s="53"/>
      <c r="J159" s="53"/>
      <c r="K159" s="53"/>
    </row>
    <row r="160">
      <c r="B160" s="52"/>
      <c r="C160" s="53"/>
      <c r="D160" s="53"/>
      <c r="E160" s="53"/>
      <c r="F160" s="53"/>
      <c r="G160" s="53"/>
      <c r="H160" s="53"/>
      <c r="I160" s="53"/>
      <c r="J160" s="53"/>
      <c r="K160" s="53"/>
    </row>
    <row r="161">
      <c r="B161" s="52"/>
      <c r="C161" s="53"/>
      <c r="D161" s="53"/>
      <c r="E161" s="53"/>
      <c r="F161" s="53"/>
      <c r="G161" s="53"/>
      <c r="H161" s="53"/>
      <c r="I161" s="53"/>
      <c r="J161" s="53"/>
      <c r="K161" s="53"/>
    </row>
    <row r="162">
      <c r="B162" s="52"/>
      <c r="C162" s="53"/>
      <c r="D162" s="53"/>
      <c r="E162" s="53"/>
      <c r="F162" s="53"/>
      <c r="G162" s="53"/>
      <c r="H162" s="53"/>
      <c r="I162" s="53"/>
      <c r="J162" s="53"/>
      <c r="K162" s="53"/>
    </row>
    <row r="163">
      <c r="B163" s="52"/>
      <c r="C163" s="53"/>
      <c r="D163" s="53"/>
      <c r="E163" s="53"/>
      <c r="F163" s="53"/>
      <c r="G163" s="53"/>
      <c r="H163" s="53"/>
      <c r="I163" s="53"/>
      <c r="J163" s="53"/>
      <c r="K163" s="53"/>
    </row>
    <row r="164">
      <c r="B164" s="52"/>
      <c r="C164" s="53"/>
      <c r="D164" s="53"/>
      <c r="E164" s="53"/>
      <c r="F164" s="53"/>
      <c r="G164" s="53"/>
      <c r="H164" s="53"/>
      <c r="I164" s="53"/>
      <c r="J164" s="53"/>
      <c r="K164" s="53"/>
    </row>
    <row r="165">
      <c r="B165" s="52"/>
      <c r="C165" s="53"/>
      <c r="D165" s="53"/>
      <c r="E165" s="53"/>
      <c r="F165" s="53"/>
      <c r="G165" s="53"/>
      <c r="H165" s="53"/>
      <c r="I165" s="53"/>
      <c r="J165" s="53"/>
      <c r="K165" s="53"/>
    </row>
    <row r="166">
      <c r="B166" s="52"/>
      <c r="C166" s="53"/>
      <c r="D166" s="53"/>
      <c r="E166" s="53"/>
      <c r="F166" s="53"/>
      <c r="G166" s="53"/>
      <c r="H166" s="53"/>
      <c r="I166" s="53"/>
      <c r="J166" s="53"/>
      <c r="K166" s="53"/>
    </row>
    <row r="167">
      <c r="B167" s="52"/>
      <c r="C167" s="53"/>
      <c r="D167" s="53"/>
      <c r="E167" s="53"/>
      <c r="F167" s="53"/>
      <c r="G167" s="53"/>
      <c r="H167" s="53"/>
      <c r="I167" s="53"/>
      <c r="J167" s="53"/>
      <c r="K167" s="53"/>
    </row>
    <row r="168">
      <c r="B168" s="52"/>
      <c r="C168" s="53"/>
      <c r="D168" s="53"/>
      <c r="E168" s="53"/>
      <c r="F168" s="53"/>
      <c r="G168" s="53"/>
      <c r="H168" s="53"/>
      <c r="I168" s="53"/>
      <c r="J168" s="53"/>
      <c r="K168" s="53"/>
    </row>
    <row r="169">
      <c r="B169" s="52"/>
      <c r="C169" s="53"/>
      <c r="D169" s="53"/>
      <c r="E169" s="53"/>
      <c r="F169" s="53"/>
      <c r="G169" s="53"/>
      <c r="H169" s="53"/>
      <c r="I169" s="53"/>
      <c r="J169" s="53"/>
      <c r="K169" s="53"/>
    </row>
    <row r="170">
      <c r="B170" s="52"/>
      <c r="C170" s="53"/>
      <c r="D170" s="53"/>
      <c r="E170" s="53"/>
      <c r="F170" s="53"/>
      <c r="G170" s="53"/>
      <c r="H170" s="53"/>
      <c r="I170" s="53"/>
      <c r="J170" s="53"/>
      <c r="K170" s="53"/>
    </row>
    <row r="171">
      <c r="B171" s="52"/>
      <c r="C171" s="53"/>
      <c r="D171" s="53"/>
      <c r="E171" s="53"/>
      <c r="F171" s="53"/>
      <c r="G171" s="53"/>
      <c r="H171" s="53"/>
      <c r="I171" s="53"/>
      <c r="J171" s="53"/>
      <c r="K171" s="53"/>
    </row>
    <row r="172">
      <c r="B172" s="52"/>
      <c r="C172" s="53"/>
      <c r="D172" s="53"/>
      <c r="E172" s="53"/>
      <c r="F172" s="53"/>
      <c r="G172" s="53"/>
      <c r="H172" s="53"/>
      <c r="I172" s="53"/>
      <c r="J172" s="53"/>
      <c r="K172" s="53"/>
    </row>
    <row r="173">
      <c r="B173" s="52"/>
      <c r="C173" s="53"/>
      <c r="D173" s="53"/>
      <c r="E173" s="53"/>
      <c r="F173" s="53"/>
      <c r="G173" s="53"/>
      <c r="H173" s="53"/>
      <c r="I173" s="53"/>
      <c r="J173" s="53"/>
      <c r="K173" s="53"/>
    </row>
    <row r="174">
      <c r="B174" s="52"/>
      <c r="C174" s="53"/>
      <c r="D174" s="53"/>
      <c r="E174" s="53"/>
      <c r="F174" s="53"/>
      <c r="G174" s="53"/>
      <c r="H174" s="53"/>
      <c r="I174" s="53"/>
      <c r="J174" s="53"/>
      <c r="K174" s="53"/>
    </row>
    <row r="175">
      <c r="B175" s="52"/>
      <c r="C175" s="53"/>
      <c r="D175" s="53"/>
      <c r="E175" s="53"/>
      <c r="F175" s="53"/>
      <c r="G175" s="53"/>
      <c r="H175" s="53"/>
      <c r="I175" s="53"/>
      <c r="J175" s="53"/>
      <c r="K175" s="53"/>
    </row>
    <row r="176">
      <c r="B176" s="52"/>
      <c r="C176" s="53"/>
      <c r="D176" s="53"/>
      <c r="E176" s="53"/>
      <c r="F176" s="53"/>
      <c r="G176" s="53"/>
      <c r="H176" s="53"/>
      <c r="I176" s="53"/>
      <c r="J176" s="53"/>
      <c r="K176" s="53"/>
    </row>
    <row r="177">
      <c r="B177" s="52"/>
      <c r="C177" s="53"/>
      <c r="D177" s="53"/>
      <c r="E177" s="53"/>
      <c r="F177" s="53"/>
      <c r="G177" s="53"/>
      <c r="H177" s="53"/>
      <c r="I177" s="53"/>
      <c r="J177" s="53"/>
      <c r="K177" s="53"/>
    </row>
    <row r="178">
      <c r="B178" s="52"/>
      <c r="C178" s="53"/>
      <c r="D178" s="53"/>
      <c r="E178" s="53"/>
      <c r="F178" s="53"/>
      <c r="G178" s="53"/>
      <c r="H178" s="53"/>
      <c r="I178" s="53"/>
      <c r="J178" s="53"/>
      <c r="K178" s="53"/>
    </row>
    <row r="179">
      <c r="B179" s="52"/>
      <c r="C179" s="53"/>
      <c r="D179" s="53"/>
      <c r="E179" s="53"/>
      <c r="F179" s="53"/>
      <c r="G179" s="53"/>
      <c r="H179" s="53"/>
      <c r="I179" s="53"/>
      <c r="J179" s="53"/>
      <c r="K179" s="53"/>
    </row>
    <row r="180">
      <c r="B180" s="52"/>
      <c r="C180" s="53"/>
      <c r="D180" s="53"/>
      <c r="E180" s="53"/>
      <c r="F180" s="53"/>
      <c r="G180" s="53"/>
      <c r="H180" s="53"/>
      <c r="I180" s="53"/>
      <c r="J180" s="53"/>
      <c r="K180" s="53"/>
    </row>
    <row r="181">
      <c r="B181" s="52"/>
      <c r="C181" s="53"/>
      <c r="D181" s="53"/>
      <c r="E181" s="53"/>
      <c r="F181" s="53"/>
      <c r="G181" s="53"/>
      <c r="H181" s="53"/>
      <c r="I181" s="53"/>
      <c r="J181" s="53"/>
      <c r="K181" s="53"/>
    </row>
    <row r="182">
      <c r="B182" s="52"/>
      <c r="C182" s="53"/>
      <c r="D182" s="53"/>
      <c r="E182" s="53"/>
      <c r="F182" s="53"/>
      <c r="G182" s="53"/>
      <c r="H182" s="53"/>
      <c r="I182" s="53"/>
      <c r="J182" s="53"/>
      <c r="K182" s="53"/>
    </row>
    <row r="183">
      <c r="B183" s="52"/>
      <c r="C183" s="53"/>
      <c r="D183" s="53"/>
      <c r="E183" s="53"/>
      <c r="F183" s="53"/>
      <c r="G183" s="53"/>
      <c r="H183" s="53"/>
      <c r="I183" s="53"/>
      <c r="J183" s="53"/>
      <c r="K183" s="53"/>
    </row>
    <row r="184">
      <c r="B184" s="52"/>
      <c r="C184" s="53"/>
      <c r="D184" s="53"/>
      <c r="E184" s="53"/>
      <c r="F184" s="53"/>
      <c r="G184" s="53"/>
      <c r="H184" s="53"/>
      <c r="I184" s="53"/>
      <c r="J184" s="53"/>
      <c r="K184" s="53"/>
    </row>
    <row r="185">
      <c r="B185" s="52"/>
      <c r="C185" s="53"/>
      <c r="D185" s="53"/>
      <c r="E185" s="53"/>
      <c r="F185" s="53"/>
      <c r="G185" s="53"/>
      <c r="H185" s="53"/>
      <c r="I185" s="53"/>
      <c r="J185" s="53"/>
      <c r="K185" s="53"/>
    </row>
    <row r="186">
      <c r="B186" s="52"/>
      <c r="C186" s="53"/>
      <c r="D186" s="53"/>
      <c r="E186" s="53"/>
      <c r="F186" s="53"/>
      <c r="G186" s="53"/>
      <c r="H186" s="53"/>
      <c r="I186" s="53"/>
      <c r="J186" s="53"/>
      <c r="K186" s="53"/>
    </row>
    <row r="187">
      <c r="B187" s="52"/>
      <c r="C187" s="53"/>
      <c r="D187" s="53"/>
      <c r="E187" s="53"/>
      <c r="F187" s="53"/>
      <c r="G187" s="53"/>
      <c r="H187" s="53"/>
      <c r="I187" s="53"/>
      <c r="J187" s="53"/>
      <c r="K187" s="53"/>
    </row>
    <row r="188">
      <c r="B188" s="52"/>
      <c r="C188" s="53"/>
      <c r="D188" s="53"/>
      <c r="E188" s="53"/>
      <c r="F188" s="53"/>
      <c r="G188" s="53"/>
      <c r="H188" s="53"/>
      <c r="I188" s="53"/>
      <c r="J188" s="53"/>
      <c r="K188" s="53"/>
    </row>
    <row r="189">
      <c r="B189" s="52"/>
      <c r="C189" s="53"/>
      <c r="D189" s="53"/>
      <c r="E189" s="53"/>
      <c r="F189" s="53"/>
      <c r="G189" s="53"/>
      <c r="H189" s="53"/>
      <c r="I189" s="53"/>
      <c r="J189" s="53"/>
      <c r="K189" s="53"/>
    </row>
    <row r="190">
      <c r="B190" s="52"/>
      <c r="C190" s="53"/>
      <c r="D190" s="53"/>
      <c r="E190" s="53"/>
      <c r="F190" s="53"/>
      <c r="G190" s="53"/>
      <c r="H190" s="53"/>
      <c r="I190" s="53"/>
      <c r="J190" s="53"/>
      <c r="K190" s="53"/>
    </row>
    <row r="191">
      <c r="B191" s="52"/>
      <c r="C191" s="53"/>
      <c r="D191" s="53"/>
      <c r="E191" s="53"/>
      <c r="F191" s="53"/>
      <c r="G191" s="53"/>
      <c r="H191" s="53"/>
      <c r="I191" s="53"/>
      <c r="J191" s="53"/>
      <c r="K191" s="53"/>
    </row>
    <row r="192">
      <c r="B192" s="52"/>
      <c r="C192" s="53"/>
      <c r="D192" s="53"/>
      <c r="E192" s="53"/>
      <c r="F192" s="53"/>
      <c r="G192" s="53"/>
      <c r="H192" s="53"/>
      <c r="I192" s="53"/>
      <c r="J192" s="53"/>
      <c r="K192" s="53"/>
    </row>
    <row r="193">
      <c r="B193" s="52"/>
      <c r="C193" s="53"/>
      <c r="D193" s="53"/>
      <c r="E193" s="53"/>
      <c r="F193" s="53"/>
      <c r="G193" s="53"/>
      <c r="H193" s="53"/>
      <c r="I193" s="53"/>
      <c r="J193" s="53"/>
      <c r="K193" s="53"/>
    </row>
    <row r="194">
      <c r="B194" s="52"/>
      <c r="C194" s="53"/>
      <c r="D194" s="53"/>
      <c r="E194" s="53"/>
      <c r="F194" s="53"/>
      <c r="G194" s="53"/>
      <c r="H194" s="53"/>
      <c r="I194" s="53"/>
      <c r="J194" s="53"/>
      <c r="K194" s="53"/>
    </row>
    <row r="195">
      <c r="B195" s="52"/>
      <c r="C195" s="53"/>
      <c r="D195" s="53"/>
      <c r="E195" s="53"/>
      <c r="F195" s="53"/>
      <c r="G195" s="53"/>
      <c r="H195" s="53"/>
      <c r="I195" s="53"/>
      <c r="J195" s="53"/>
      <c r="K195" s="53"/>
    </row>
    <row r="196">
      <c r="B196" s="52"/>
      <c r="C196" s="53"/>
      <c r="D196" s="53"/>
      <c r="E196" s="53"/>
      <c r="F196" s="53"/>
      <c r="G196" s="53"/>
      <c r="H196" s="53"/>
      <c r="I196" s="53"/>
      <c r="J196" s="53"/>
      <c r="K196" s="53"/>
    </row>
    <row r="197">
      <c r="B197" s="52"/>
      <c r="C197" s="53"/>
      <c r="D197" s="53"/>
      <c r="E197" s="53"/>
      <c r="F197" s="53"/>
      <c r="G197" s="53"/>
      <c r="H197" s="53"/>
      <c r="I197" s="53"/>
      <c r="J197" s="53"/>
      <c r="K197" s="53"/>
    </row>
    <row r="198">
      <c r="B198" s="52"/>
      <c r="C198" s="53"/>
      <c r="D198" s="53"/>
      <c r="E198" s="53"/>
      <c r="F198" s="53"/>
      <c r="G198" s="53"/>
      <c r="H198" s="53"/>
      <c r="I198" s="53"/>
      <c r="J198" s="53"/>
      <c r="K198" s="53"/>
    </row>
    <row r="199">
      <c r="B199" s="52"/>
      <c r="C199" s="53"/>
      <c r="D199" s="53"/>
      <c r="E199" s="53"/>
      <c r="F199" s="53"/>
      <c r="G199" s="53"/>
      <c r="H199" s="53"/>
      <c r="I199" s="53"/>
      <c r="J199" s="53"/>
      <c r="K199" s="53"/>
    </row>
    <row r="200">
      <c r="B200" s="52"/>
      <c r="C200" s="53"/>
      <c r="D200" s="53"/>
      <c r="E200" s="53"/>
      <c r="F200" s="53"/>
      <c r="G200" s="53"/>
      <c r="H200" s="53"/>
      <c r="I200" s="53"/>
      <c r="J200" s="53"/>
      <c r="K200" s="53"/>
    </row>
    <row r="201">
      <c r="B201" s="52"/>
      <c r="C201" s="53"/>
      <c r="D201" s="53"/>
      <c r="E201" s="53"/>
      <c r="F201" s="53"/>
      <c r="G201" s="53"/>
      <c r="H201" s="53"/>
      <c r="I201" s="53"/>
      <c r="J201" s="53"/>
      <c r="K201" s="53"/>
    </row>
    <row r="202">
      <c r="B202" s="52"/>
      <c r="C202" s="53"/>
      <c r="D202" s="53"/>
      <c r="E202" s="53"/>
      <c r="F202" s="53"/>
      <c r="G202" s="53"/>
      <c r="H202" s="53"/>
      <c r="I202" s="53"/>
      <c r="J202" s="53"/>
      <c r="K202" s="53"/>
    </row>
    <row r="203">
      <c r="B203" s="52"/>
      <c r="C203" s="53"/>
      <c r="D203" s="53"/>
      <c r="E203" s="53"/>
      <c r="F203" s="53"/>
      <c r="G203" s="53"/>
      <c r="H203" s="53"/>
      <c r="I203" s="53"/>
      <c r="J203" s="53"/>
      <c r="K203" s="53"/>
    </row>
    <row r="204">
      <c r="B204" s="52"/>
      <c r="C204" s="53"/>
      <c r="D204" s="53"/>
      <c r="E204" s="53"/>
      <c r="F204" s="53"/>
      <c r="G204" s="53"/>
      <c r="H204" s="53"/>
      <c r="I204" s="53"/>
      <c r="J204" s="53"/>
      <c r="K204" s="53"/>
    </row>
    <row r="205">
      <c r="B205" s="52"/>
      <c r="C205" s="53"/>
      <c r="D205" s="53"/>
      <c r="E205" s="53"/>
      <c r="F205" s="53"/>
      <c r="G205" s="53"/>
      <c r="H205" s="53"/>
      <c r="I205" s="53"/>
      <c r="J205" s="53"/>
      <c r="K205" s="53"/>
    </row>
    <row r="206">
      <c r="B206" s="52"/>
      <c r="C206" s="53"/>
      <c r="D206" s="53"/>
      <c r="E206" s="53"/>
      <c r="F206" s="53"/>
      <c r="G206" s="53"/>
      <c r="H206" s="53"/>
      <c r="I206" s="53"/>
      <c r="J206" s="53"/>
      <c r="K206" s="53"/>
    </row>
    <row r="207">
      <c r="B207" s="52"/>
      <c r="C207" s="53"/>
      <c r="D207" s="53"/>
      <c r="E207" s="53"/>
      <c r="F207" s="53"/>
      <c r="G207" s="53"/>
      <c r="H207" s="53"/>
      <c r="I207" s="53"/>
      <c r="J207" s="53"/>
      <c r="K207" s="53"/>
    </row>
    <row r="208">
      <c r="B208" s="52"/>
      <c r="C208" s="53"/>
      <c r="D208" s="53"/>
      <c r="E208" s="53"/>
      <c r="F208" s="53"/>
      <c r="G208" s="53"/>
      <c r="H208" s="53"/>
      <c r="I208" s="53"/>
      <c r="J208" s="53"/>
      <c r="K208" s="53"/>
    </row>
    <row r="209">
      <c r="B209" s="52"/>
      <c r="C209" s="53"/>
      <c r="D209" s="53"/>
      <c r="E209" s="53"/>
      <c r="F209" s="53"/>
      <c r="G209" s="53"/>
      <c r="H209" s="53"/>
      <c r="I209" s="53"/>
      <c r="J209" s="53"/>
      <c r="K209" s="53"/>
    </row>
    <row r="210">
      <c r="B210" s="52"/>
      <c r="C210" s="53"/>
      <c r="D210" s="53"/>
      <c r="E210" s="53"/>
      <c r="F210" s="53"/>
      <c r="G210" s="53"/>
      <c r="H210" s="53"/>
      <c r="I210" s="53"/>
      <c r="J210" s="53"/>
      <c r="K210" s="53"/>
    </row>
    <row r="211">
      <c r="B211" s="52"/>
      <c r="C211" s="53"/>
      <c r="D211" s="53"/>
      <c r="E211" s="53"/>
      <c r="F211" s="53"/>
      <c r="G211" s="53"/>
      <c r="H211" s="53"/>
      <c r="I211" s="53"/>
      <c r="J211" s="53"/>
      <c r="K211" s="53"/>
    </row>
    <row r="212">
      <c r="B212" s="52"/>
      <c r="C212" s="53"/>
      <c r="D212" s="53"/>
      <c r="E212" s="53"/>
      <c r="F212" s="53"/>
      <c r="G212" s="53"/>
      <c r="H212" s="53"/>
      <c r="I212" s="53"/>
      <c r="J212" s="53"/>
      <c r="K212" s="53"/>
    </row>
    <row r="213">
      <c r="B213" s="52"/>
      <c r="C213" s="53"/>
      <c r="D213" s="53"/>
      <c r="E213" s="53"/>
      <c r="F213" s="53"/>
      <c r="G213" s="53"/>
      <c r="H213" s="53"/>
      <c r="I213" s="53"/>
      <c r="J213" s="53"/>
      <c r="K213" s="53"/>
    </row>
    <row r="214">
      <c r="B214" s="52"/>
      <c r="C214" s="53"/>
      <c r="D214" s="53"/>
      <c r="E214" s="53"/>
      <c r="F214" s="53"/>
      <c r="G214" s="53"/>
      <c r="H214" s="53"/>
      <c r="I214" s="53"/>
      <c r="J214" s="53"/>
      <c r="K214" s="53"/>
    </row>
    <row r="215">
      <c r="B215" s="52"/>
      <c r="C215" s="53"/>
      <c r="D215" s="53"/>
      <c r="E215" s="53"/>
      <c r="F215" s="53"/>
      <c r="G215" s="53"/>
      <c r="H215" s="53"/>
      <c r="I215" s="53"/>
      <c r="J215" s="53"/>
      <c r="K215" s="53"/>
    </row>
    <row r="216">
      <c r="B216" s="52"/>
      <c r="C216" s="53"/>
      <c r="D216" s="53"/>
      <c r="E216" s="53"/>
      <c r="F216" s="53"/>
      <c r="G216" s="53"/>
      <c r="H216" s="53"/>
      <c r="I216" s="53"/>
      <c r="J216" s="53"/>
      <c r="K216" s="53"/>
    </row>
    <row r="217">
      <c r="B217" s="52"/>
      <c r="C217" s="53"/>
      <c r="D217" s="53"/>
      <c r="E217" s="53"/>
      <c r="F217" s="53"/>
      <c r="G217" s="53"/>
      <c r="H217" s="53"/>
      <c r="I217" s="53"/>
      <c r="J217" s="53"/>
      <c r="K217" s="53"/>
    </row>
    <row r="218">
      <c r="B218" s="52"/>
      <c r="C218" s="53"/>
      <c r="D218" s="53"/>
      <c r="E218" s="53"/>
      <c r="F218" s="53"/>
      <c r="G218" s="53"/>
      <c r="H218" s="53"/>
      <c r="I218" s="53"/>
      <c r="J218" s="53"/>
      <c r="K218" s="53"/>
    </row>
    <row r="219">
      <c r="B219" s="52"/>
      <c r="C219" s="53"/>
      <c r="D219" s="53"/>
      <c r="E219" s="53"/>
      <c r="F219" s="53"/>
      <c r="G219" s="53"/>
      <c r="H219" s="53"/>
      <c r="I219" s="53"/>
      <c r="J219" s="53"/>
      <c r="K219" s="53"/>
    </row>
    <row r="220">
      <c r="B220" s="52"/>
      <c r="C220" s="53"/>
      <c r="D220" s="53"/>
      <c r="E220" s="53"/>
      <c r="F220" s="53"/>
      <c r="G220" s="53"/>
      <c r="H220" s="53"/>
      <c r="I220" s="53"/>
      <c r="J220" s="53"/>
      <c r="K220" s="53"/>
    </row>
    <row r="221">
      <c r="B221" s="52"/>
      <c r="C221" s="53"/>
      <c r="D221" s="53"/>
      <c r="E221" s="53"/>
      <c r="F221" s="53"/>
      <c r="G221" s="53"/>
      <c r="H221" s="53"/>
      <c r="I221" s="53"/>
      <c r="J221" s="53"/>
      <c r="K221" s="53"/>
    </row>
    <row r="222">
      <c r="B222" s="52"/>
      <c r="C222" s="53"/>
      <c r="D222" s="53"/>
      <c r="E222" s="53"/>
      <c r="F222" s="53"/>
      <c r="G222" s="53"/>
      <c r="H222" s="53"/>
      <c r="I222" s="53"/>
      <c r="J222" s="53"/>
      <c r="K222" s="53"/>
    </row>
    <row r="223">
      <c r="B223" s="52"/>
      <c r="C223" s="53"/>
      <c r="D223" s="53"/>
      <c r="E223" s="53"/>
      <c r="F223" s="53"/>
      <c r="G223" s="53"/>
      <c r="H223" s="53"/>
      <c r="I223" s="53"/>
      <c r="J223" s="53"/>
      <c r="K223" s="53"/>
    </row>
    <row r="224">
      <c r="B224" s="52"/>
      <c r="C224" s="53"/>
      <c r="D224" s="53"/>
      <c r="E224" s="53"/>
      <c r="F224" s="53"/>
      <c r="G224" s="53"/>
      <c r="H224" s="53"/>
      <c r="I224" s="53"/>
      <c r="J224" s="53"/>
      <c r="K224" s="53"/>
    </row>
    <row r="225">
      <c r="B225" s="52"/>
      <c r="C225" s="53"/>
      <c r="D225" s="53"/>
      <c r="E225" s="53"/>
      <c r="F225" s="53"/>
      <c r="G225" s="53"/>
      <c r="H225" s="53"/>
      <c r="I225" s="53"/>
      <c r="J225" s="53"/>
      <c r="K225" s="53"/>
    </row>
    <row r="226">
      <c r="B226" s="52"/>
      <c r="C226" s="53"/>
      <c r="D226" s="53"/>
      <c r="E226" s="53"/>
      <c r="F226" s="53"/>
      <c r="G226" s="53"/>
      <c r="H226" s="53"/>
      <c r="I226" s="53"/>
      <c r="J226" s="53"/>
      <c r="K226" s="53"/>
    </row>
    <row r="227">
      <c r="B227" s="52"/>
      <c r="C227" s="53"/>
      <c r="D227" s="53"/>
      <c r="E227" s="53"/>
      <c r="F227" s="53"/>
      <c r="G227" s="53"/>
      <c r="H227" s="53"/>
      <c r="I227" s="53"/>
      <c r="J227" s="53"/>
      <c r="K227" s="53"/>
    </row>
    <row r="228">
      <c r="B228" s="52"/>
      <c r="C228" s="53"/>
      <c r="D228" s="53"/>
      <c r="E228" s="53"/>
      <c r="F228" s="53"/>
      <c r="G228" s="53"/>
      <c r="H228" s="53"/>
      <c r="I228" s="53"/>
      <c r="J228" s="53"/>
      <c r="K228" s="53"/>
    </row>
    <row r="229">
      <c r="B229" s="52"/>
      <c r="C229" s="53"/>
      <c r="D229" s="53"/>
      <c r="E229" s="53"/>
      <c r="F229" s="53"/>
      <c r="G229" s="53"/>
      <c r="H229" s="53"/>
      <c r="I229" s="53"/>
      <c r="J229" s="53"/>
      <c r="K229" s="53"/>
    </row>
    <row r="230">
      <c r="B230" s="52"/>
      <c r="C230" s="53"/>
      <c r="D230" s="53"/>
      <c r="E230" s="53"/>
      <c r="F230" s="53"/>
      <c r="G230" s="53"/>
      <c r="H230" s="53"/>
      <c r="I230" s="53"/>
      <c r="J230" s="53"/>
      <c r="K230" s="53"/>
    </row>
    <row r="231">
      <c r="B231" s="52"/>
      <c r="C231" s="53"/>
      <c r="D231" s="53"/>
      <c r="E231" s="53"/>
      <c r="F231" s="53"/>
      <c r="G231" s="53"/>
      <c r="H231" s="53"/>
      <c r="I231" s="53"/>
      <c r="J231" s="53"/>
      <c r="K231" s="53"/>
    </row>
    <row r="232">
      <c r="B232" s="52"/>
      <c r="C232" s="53"/>
      <c r="D232" s="53"/>
      <c r="E232" s="53"/>
      <c r="F232" s="53"/>
      <c r="G232" s="53"/>
      <c r="H232" s="53"/>
      <c r="I232" s="53"/>
      <c r="J232" s="53"/>
      <c r="K232" s="53"/>
    </row>
    <row r="233">
      <c r="B233" s="52"/>
      <c r="C233" s="53"/>
      <c r="D233" s="53"/>
      <c r="E233" s="53"/>
      <c r="F233" s="53"/>
      <c r="G233" s="53"/>
      <c r="H233" s="53"/>
      <c r="I233" s="53"/>
      <c r="J233" s="53"/>
      <c r="K233" s="53"/>
    </row>
    <row r="234">
      <c r="B234" s="52"/>
      <c r="C234" s="53"/>
      <c r="D234" s="53"/>
      <c r="E234" s="53"/>
      <c r="F234" s="53"/>
      <c r="G234" s="53"/>
      <c r="H234" s="53"/>
      <c r="I234" s="53"/>
      <c r="J234" s="53"/>
      <c r="K234" s="53"/>
    </row>
    <row r="235">
      <c r="B235" s="52"/>
      <c r="C235" s="53"/>
      <c r="D235" s="53"/>
      <c r="E235" s="53"/>
      <c r="F235" s="53"/>
      <c r="G235" s="53"/>
      <c r="H235" s="53"/>
      <c r="I235" s="53"/>
      <c r="J235" s="53"/>
      <c r="K235" s="53"/>
    </row>
    <row r="236">
      <c r="B236" s="52"/>
      <c r="C236" s="53"/>
      <c r="D236" s="53"/>
      <c r="E236" s="53"/>
      <c r="F236" s="53"/>
      <c r="G236" s="53"/>
      <c r="H236" s="53"/>
      <c r="I236" s="53"/>
      <c r="J236" s="53"/>
      <c r="K236" s="53"/>
    </row>
    <row r="237">
      <c r="B237" s="52"/>
      <c r="C237" s="53"/>
      <c r="D237" s="53"/>
      <c r="E237" s="53"/>
      <c r="F237" s="53"/>
      <c r="G237" s="53"/>
      <c r="H237" s="53"/>
      <c r="I237" s="53"/>
      <c r="J237" s="53"/>
      <c r="K237" s="53"/>
    </row>
    <row r="238">
      <c r="B238" s="52"/>
      <c r="C238" s="53"/>
      <c r="D238" s="53"/>
      <c r="E238" s="53"/>
      <c r="F238" s="53"/>
      <c r="G238" s="53"/>
      <c r="H238" s="53"/>
      <c r="I238" s="53"/>
      <c r="J238" s="53"/>
      <c r="K238" s="53"/>
    </row>
    <row r="239">
      <c r="B239" s="52"/>
      <c r="C239" s="53"/>
      <c r="D239" s="53"/>
      <c r="E239" s="53"/>
      <c r="F239" s="53"/>
      <c r="G239" s="53"/>
      <c r="H239" s="53"/>
      <c r="I239" s="53"/>
      <c r="J239" s="53"/>
      <c r="K239" s="53"/>
    </row>
    <row r="240">
      <c r="B240" s="52"/>
      <c r="C240" s="53"/>
      <c r="D240" s="53"/>
      <c r="E240" s="53"/>
      <c r="F240" s="53"/>
      <c r="G240" s="53"/>
      <c r="H240" s="53"/>
      <c r="I240" s="53"/>
      <c r="J240" s="53"/>
      <c r="K240" s="53"/>
    </row>
    <row r="241">
      <c r="B241" s="52"/>
      <c r="C241" s="53"/>
      <c r="D241" s="53"/>
      <c r="E241" s="53"/>
      <c r="F241" s="53"/>
      <c r="G241" s="53"/>
      <c r="H241" s="53"/>
      <c r="I241" s="53"/>
      <c r="J241" s="53"/>
      <c r="K241" s="53"/>
    </row>
    <row r="242">
      <c r="B242" s="52"/>
      <c r="C242" s="53"/>
      <c r="D242" s="53"/>
      <c r="E242" s="53"/>
      <c r="F242" s="53"/>
      <c r="G242" s="53"/>
      <c r="H242" s="53"/>
      <c r="I242" s="53"/>
      <c r="J242" s="53"/>
      <c r="K242" s="53"/>
    </row>
    <row r="243">
      <c r="B243" s="52"/>
      <c r="C243" s="53"/>
      <c r="D243" s="53"/>
      <c r="E243" s="53"/>
      <c r="F243" s="53"/>
      <c r="G243" s="53"/>
      <c r="H243" s="53"/>
      <c r="I243" s="53"/>
      <c r="J243" s="53"/>
      <c r="K243" s="53"/>
    </row>
    <row r="244">
      <c r="B244" s="52"/>
      <c r="C244" s="53"/>
      <c r="D244" s="53"/>
      <c r="E244" s="53"/>
      <c r="F244" s="53"/>
      <c r="G244" s="53"/>
      <c r="H244" s="53"/>
      <c r="I244" s="53"/>
      <c r="J244" s="53"/>
      <c r="K244" s="53"/>
    </row>
    <row r="245">
      <c r="B245" s="52"/>
      <c r="C245" s="53"/>
      <c r="D245" s="53"/>
      <c r="E245" s="53"/>
      <c r="F245" s="53"/>
      <c r="G245" s="53"/>
      <c r="H245" s="53"/>
      <c r="I245" s="53"/>
      <c r="J245" s="53"/>
      <c r="K245" s="53"/>
    </row>
    <row r="246">
      <c r="B246" s="52"/>
      <c r="C246" s="53"/>
      <c r="D246" s="53"/>
      <c r="E246" s="53"/>
      <c r="F246" s="53"/>
      <c r="G246" s="53"/>
      <c r="H246" s="53"/>
      <c r="I246" s="53"/>
      <c r="J246" s="53"/>
      <c r="K246" s="53"/>
    </row>
    <row r="247">
      <c r="B247" s="52"/>
      <c r="C247" s="53"/>
      <c r="D247" s="53"/>
      <c r="E247" s="53"/>
      <c r="F247" s="53"/>
      <c r="G247" s="53"/>
      <c r="H247" s="53"/>
      <c r="I247" s="53"/>
      <c r="J247" s="53"/>
      <c r="K247" s="53"/>
    </row>
    <row r="248">
      <c r="B248" s="52"/>
      <c r="C248" s="53"/>
      <c r="D248" s="53"/>
      <c r="E248" s="53"/>
      <c r="F248" s="53"/>
      <c r="G248" s="53"/>
      <c r="H248" s="53"/>
      <c r="I248" s="53"/>
      <c r="J248" s="53"/>
      <c r="K248" s="53"/>
    </row>
    <row r="249">
      <c r="B249" s="52"/>
      <c r="C249" s="53"/>
      <c r="D249" s="53"/>
      <c r="E249" s="53"/>
      <c r="F249" s="53"/>
      <c r="G249" s="53"/>
      <c r="H249" s="53"/>
      <c r="I249" s="53"/>
      <c r="J249" s="53"/>
      <c r="K249" s="53"/>
    </row>
    <row r="250">
      <c r="B250" s="52"/>
      <c r="C250" s="53"/>
      <c r="D250" s="53"/>
      <c r="E250" s="53"/>
      <c r="F250" s="53"/>
      <c r="G250" s="53"/>
      <c r="H250" s="53"/>
      <c r="I250" s="53"/>
      <c r="J250" s="53"/>
      <c r="K250" s="53"/>
    </row>
    <row r="251">
      <c r="B251" s="52"/>
      <c r="C251" s="53"/>
      <c r="D251" s="53"/>
      <c r="E251" s="53"/>
      <c r="F251" s="53"/>
      <c r="G251" s="53"/>
      <c r="H251" s="53"/>
      <c r="I251" s="53"/>
      <c r="J251" s="53"/>
      <c r="K251" s="53"/>
    </row>
    <row r="252">
      <c r="B252" s="52"/>
      <c r="C252" s="53"/>
      <c r="D252" s="53"/>
      <c r="E252" s="53"/>
      <c r="F252" s="53"/>
      <c r="G252" s="53"/>
      <c r="H252" s="53"/>
      <c r="I252" s="53"/>
      <c r="J252" s="53"/>
      <c r="K252" s="53"/>
    </row>
    <row r="253">
      <c r="B253" s="52"/>
      <c r="C253" s="53"/>
      <c r="D253" s="53"/>
      <c r="E253" s="53"/>
      <c r="F253" s="53"/>
      <c r="G253" s="53"/>
      <c r="H253" s="53"/>
      <c r="I253" s="53"/>
      <c r="J253" s="53"/>
      <c r="K253" s="53"/>
    </row>
    <row r="254">
      <c r="B254" s="52"/>
      <c r="C254" s="53"/>
      <c r="D254" s="53"/>
      <c r="E254" s="53"/>
      <c r="F254" s="53"/>
      <c r="G254" s="53"/>
      <c r="H254" s="53"/>
      <c r="I254" s="53"/>
      <c r="J254" s="53"/>
      <c r="K254" s="53"/>
    </row>
    <row r="255">
      <c r="B255" s="52"/>
      <c r="C255" s="53"/>
      <c r="D255" s="53"/>
      <c r="E255" s="53"/>
      <c r="F255" s="53"/>
      <c r="G255" s="53"/>
      <c r="H255" s="53"/>
      <c r="I255" s="53"/>
      <c r="J255" s="53"/>
      <c r="K255" s="53"/>
    </row>
    <row r="256">
      <c r="B256" s="52"/>
      <c r="C256" s="53"/>
      <c r="D256" s="53"/>
      <c r="E256" s="53"/>
      <c r="F256" s="53"/>
      <c r="G256" s="53"/>
      <c r="H256" s="53"/>
      <c r="I256" s="53"/>
      <c r="J256" s="53"/>
      <c r="K256" s="53"/>
    </row>
    <row r="257">
      <c r="B257" s="52"/>
      <c r="C257" s="53"/>
      <c r="D257" s="53"/>
      <c r="E257" s="53"/>
      <c r="F257" s="53"/>
      <c r="G257" s="53"/>
      <c r="H257" s="53"/>
      <c r="I257" s="53"/>
      <c r="J257" s="53"/>
      <c r="K257" s="53"/>
    </row>
    <row r="258">
      <c r="B258" s="52"/>
      <c r="C258" s="53"/>
      <c r="D258" s="53"/>
      <c r="E258" s="53"/>
      <c r="F258" s="53"/>
      <c r="G258" s="53"/>
      <c r="H258" s="53"/>
      <c r="I258" s="53"/>
      <c r="J258" s="53"/>
      <c r="K258" s="53"/>
    </row>
    <row r="259">
      <c r="B259" s="52"/>
      <c r="C259" s="53"/>
      <c r="D259" s="53"/>
      <c r="E259" s="53"/>
      <c r="F259" s="53"/>
      <c r="G259" s="53"/>
      <c r="H259" s="53"/>
      <c r="I259" s="53"/>
      <c r="J259" s="53"/>
      <c r="K259" s="53"/>
    </row>
    <row r="260">
      <c r="B260" s="52"/>
      <c r="C260" s="53"/>
      <c r="D260" s="53"/>
      <c r="E260" s="53"/>
      <c r="F260" s="53"/>
      <c r="G260" s="53"/>
      <c r="H260" s="53"/>
      <c r="I260" s="53"/>
      <c r="J260" s="53"/>
      <c r="K260" s="53"/>
    </row>
    <row r="261">
      <c r="B261" s="52"/>
      <c r="C261" s="53"/>
      <c r="D261" s="53"/>
      <c r="E261" s="53"/>
      <c r="F261" s="53"/>
      <c r="G261" s="53"/>
      <c r="H261" s="53"/>
      <c r="I261" s="53"/>
      <c r="J261" s="53"/>
      <c r="K261" s="53"/>
    </row>
    <row r="262">
      <c r="B262" s="52"/>
      <c r="C262" s="53"/>
      <c r="D262" s="53"/>
      <c r="E262" s="53"/>
      <c r="F262" s="53"/>
      <c r="G262" s="53"/>
      <c r="H262" s="53"/>
      <c r="I262" s="53"/>
      <c r="J262" s="53"/>
      <c r="K262" s="53"/>
    </row>
    <row r="263">
      <c r="B263" s="52"/>
      <c r="C263" s="53"/>
      <c r="D263" s="53"/>
      <c r="E263" s="53"/>
      <c r="F263" s="53"/>
      <c r="G263" s="53"/>
      <c r="H263" s="53"/>
      <c r="I263" s="53"/>
      <c r="J263" s="53"/>
      <c r="K263" s="53"/>
    </row>
    <row r="264">
      <c r="B264" s="52"/>
      <c r="C264" s="53"/>
      <c r="D264" s="53"/>
      <c r="E264" s="53"/>
      <c r="F264" s="53"/>
      <c r="G264" s="53"/>
      <c r="H264" s="53"/>
      <c r="I264" s="53"/>
      <c r="J264" s="53"/>
      <c r="K264" s="53"/>
    </row>
    <row r="265">
      <c r="B265" s="52"/>
      <c r="C265" s="53"/>
      <c r="D265" s="53"/>
      <c r="E265" s="53"/>
      <c r="F265" s="53"/>
      <c r="G265" s="53"/>
      <c r="H265" s="53"/>
      <c r="I265" s="53"/>
      <c r="J265" s="53"/>
      <c r="K265" s="53"/>
    </row>
    <row r="266">
      <c r="B266" s="52"/>
      <c r="C266" s="53"/>
      <c r="D266" s="53"/>
      <c r="E266" s="53"/>
      <c r="F266" s="53"/>
      <c r="G266" s="53"/>
      <c r="H266" s="53"/>
      <c r="I266" s="53"/>
      <c r="J266" s="53"/>
      <c r="K266" s="53"/>
    </row>
    <row r="267">
      <c r="B267" s="52"/>
      <c r="C267" s="53"/>
      <c r="D267" s="53"/>
      <c r="E267" s="53"/>
      <c r="F267" s="53"/>
      <c r="G267" s="53"/>
      <c r="H267" s="53"/>
      <c r="I267" s="53"/>
      <c r="J267" s="53"/>
      <c r="K267" s="53"/>
    </row>
    <row r="268">
      <c r="B268" s="52"/>
      <c r="C268" s="53"/>
      <c r="D268" s="53"/>
      <c r="E268" s="53"/>
      <c r="F268" s="53"/>
      <c r="G268" s="53"/>
      <c r="H268" s="53"/>
      <c r="I268" s="53"/>
      <c r="J268" s="53"/>
      <c r="K268" s="53"/>
    </row>
    <row r="269">
      <c r="B269" s="52"/>
      <c r="C269" s="53"/>
      <c r="D269" s="53"/>
      <c r="E269" s="53"/>
      <c r="F269" s="53"/>
      <c r="G269" s="53"/>
      <c r="H269" s="53"/>
      <c r="I269" s="53"/>
      <c r="J269" s="53"/>
      <c r="K269" s="53"/>
    </row>
    <row r="270">
      <c r="B270" s="52"/>
      <c r="C270" s="53"/>
      <c r="D270" s="53"/>
      <c r="E270" s="53"/>
      <c r="F270" s="53"/>
      <c r="G270" s="53"/>
      <c r="H270" s="53"/>
      <c r="I270" s="53"/>
      <c r="J270" s="53"/>
      <c r="K270" s="53"/>
    </row>
    <row r="271">
      <c r="B271" s="52"/>
      <c r="C271" s="53"/>
      <c r="D271" s="53"/>
      <c r="E271" s="53"/>
      <c r="F271" s="53"/>
      <c r="G271" s="53"/>
      <c r="H271" s="53"/>
      <c r="I271" s="53"/>
      <c r="J271" s="53"/>
      <c r="K271" s="53"/>
    </row>
    <row r="272">
      <c r="B272" s="52"/>
      <c r="C272" s="53"/>
      <c r="D272" s="53"/>
      <c r="E272" s="53"/>
      <c r="F272" s="53"/>
      <c r="G272" s="53"/>
      <c r="H272" s="53"/>
      <c r="I272" s="53"/>
      <c r="J272" s="53"/>
      <c r="K272" s="53"/>
    </row>
    <row r="273">
      <c r="B273" s="52"/>
      <c r="C273" s="53"/>
      <c r="D273" s="53"/>
      <c r="E273" s="53"/>
      <c r="F273" s="53"/>
      <c r="G273" s="53"/>
      <c r="H273" s="53"/>
      <c r="I273" s="53"/>
      <c r="J273" s="53"/>
      <c r="K273" s="53"/>
    </row>
    <row r="274">
      <c r="B274" s="52"/>
      <c r="C274" s="53"/>
      <c r="D274" s="53"/>
      <c r="E274" s="53"/>
      <c r="F274" s="53"/>
      <c r="G274" s="53"/>
      <c r="H274" s="53"/>
      <c r="I274" s="53"/>
      <c r="J274" s="53"/>
      <c r="K274" s="53"/>
    </row>
    <row r="275">
      <c r="B275" s="52"/>
      <c r="C275" s="53"/>
      <c r="D275" s="53"/>
      <c r="E275" s="53"/>
      <c r="F275" s="53"/>
      <c r="G275" s="53"/>
      <c r="H275" s="53"/>
      <c r="I275" s="53"/>
      <c r="J275" s="53"/>
      <c r="K275" s="53"/>
    </row>
    <row r="276">
      <c r="B276" s="52"/>
      <c r="C276" s="53"/>
      <c r="D276" s="53"/>
      <c r="E276" s="53"/>
      <c r="F276" s="53"/>
      <c r="G276" s="53"/>
      <c r="H276" s="53"/>
      <c r="I276" s="53"/>
      <c r="J276" s="53"/>
      <c r="K276" s="53"/>
    </row>
    <row r="277">
      <c r="B277" s="52"/>
      <c r="C277" s="53"/>
      <c r="D277" s="53"/>
      <c r="E277" s="53"/>
      <c r="F277" s="53"/>
      <c r="G277" s="53"/>
      <c r="H277" s="53"/>
      <c r="I277" s="53"/>
      <c r="J277" s="53"/>
      <c r="K277" s="53"/>
    </row>
    <row r="278">
      <c r="B278" s="52"/>
      <c r="C278" s="53"/>
      <c r="D278" s="53"/>
      <c r="E278" s="53"/>
      <c r="F278" s="53"/>
      <c r="G278" s="53"/>
      <c r="H278" s="53"/>
      <c r="I278" s="53"/>
      <c r="J278" s="53"/>
      <c r="K278" s="53"/>
    </row>
    <row r="279">
      <c r="B279" s="52"/>
      <c r="C279" s="53"/>
      <c r="D279" s="53"/>
      <c r="E279" s="53"/>
      <c r="F279" s="53"/>
      <c r="G279" s="53"/>
      <c r="H279" s="53"/>
      <c r="I279" s="53"/>
      <c r="J279" s="53"/>
      <c r="K279" s="53"/>
    </row>
    <row r="280">
      <c r="B280" s="52"/>
      <c r="C280" s="53"/>
      <c r="D280" s="53"/>
      <c r="E280" s="53"/>
      <c r="F280" s="53"/>
      <c r="G280" s="53"/>
      <c r="H280" s="53"/>
      <c r="I280" s="53"/>
      <c r="J280" s="53"/>
      <c r="K280" s="53"/>
    </row>
    <row r="281">
      <c r="B281" s="52"/>
      <c r="C281" s="53"/>
      <c r="D281" s="53"/>
      <c r="E281" s="53"/>
      <c r="F281" s="53"/>
      <c r="G281" s="53"/>
      <c r="H281" s="53"/>
      <c r="I281" s="53"/>
      <c r="J281" s="53"/>
      <c r="K281" s="53"/>
    </row>
    <row r="282">
      <c r="B282" s="52"/>
      <c r="C282" s="53"/>
      <c r="D282" s="53"/>
      <c r="E282" s="53"/>
      <c r="F282" s="53"/>
      <c r="G282" s="53"/>
      <c r="H282" s="53"/>
      <c r="I282" s="53"/>
      <c r="J282" s="53"/>
      <c r="K282" s="53"/>
    </row>
    <row r="283">
      <c r="B283" s="52"/>
      <c r="C283" s="53"/>
      <c r="D283" s="53"/>
      <c r="E283" s="53"/>
      <c r="F283" s="53"/>
      <c r="G283" s="53"/>
      <c r="H283" s="53"/>
      <c r="I283" s="53"/>
      <c r="J283" s="53"/>
      <c r="K283" s="53"/>
    </row>
    <row r="284">
      <c r="B284" s="52"/>
      <c r="C284" s="53"/>
      <c r="D284" s="53"/>
      <c r="E284" s="53"/>
      <c r="F284" s="53"/>
      <c r="G284" s="53"/>
      <c r="H284" s="53"/>
      <c r="I284" s="53"/>
      <c r="J284" s="53"/>
      <c r="K284" s="53"/>
    </row>
    <row r="285">
      <c r="B285" s="52"/>
      <c r="C285" s="53"/>
      <c r="D285" s="53"/>
      <c r="E285" s="53"/>
      <c r="F285" s="53"/>
      <c r="G285" s="53"/>
      <c r="H285" s="53"/>
      <c r="I285" s="53"/>
      <c r="J285" s="53"/>
      <c r="K285" s="53"/>
    </row>
    <row r="286">
      <c r="B286" s="52"/>
      <c r="C286" s="53"/>
      <c r="D286" s="53"/>
      <c r="E286" s="53"/>
      <c r="F286" s="53"/>
      <c r="G286" s="53"/>
      <c r="H286" s="53"/>
      <c r="I286" s="53"/>
      <c r="J286" s="53"/>
      <c r="K286" s="53"/>
    </row>
    <row r="287">
      <c r="B287" s="52"/>
      <c r="C287" s="53"/>
      <c r="D287" s="53"/>
      <c r="E287" s="53"/>
      <c r="F287" s="53"/>
      <c r="G287" s="53"/>
      <c r="H287" s="53"/>
      <c r="I287" s="53"/>
      <c r="J287" s="53"/>
      <c r="K287" s="53"/>
    </row>
    <row r="288">
      <c r="B288" s="52"/>
      <c r="C288" s="53"/>
      <c r="D288" s="53"/>
      <c r="E288" s="53"/>
      <c r="F288" s="53"/>
      <c r="G288" s="53"/>
      <c r="H288" s="53"/>
      <c r="I288" s="53"/>
      <c r="J288" s="53"/>
      <c r="K288" s="53"/>
    </row>
    <row r="289">
      <c r="B289" s="52"/>
      <c r="C289" s="53"/>
      <c r="D289" s="53"/>
      <c r="E289" s="53"/>
      <c r="F289" s="53"/>
      <c r="G289" s="53"/>
      <c r="H289" s="53"/>
      <c r="I289" s="53"/>
      <c r="J289" s="53"/>
      <c r="K289" s="53"/>
    </row>
    <row r="290">
      <c r="B290" s="52"/>
      <c r="C290" s="53"/>
      <c r="D290" s="53"/>
      <c r="E290" s="53"/>
      <c r="F290" s="53"/>
      <c r="G290" s="53"/>
      <c r="H290" s="53"/>
      <c r="I290" s="53"/>
      <c r="J290" s="53"/>
      <c r="K290" s="53"/>
    </row>
    <row r="291">
      <c r="B291" s="52"/>
      <c r="C291" s="53"/>
      <c r="D291" s="53"/>
      <c r="E291" s="53"/>
      <c r="F291" s="53"/>
      <c r="G291" s="53"/>
      <c r="H291" s="53"/>
      <c r="I291" s="53"/>
      <c r="J291" s="53"/>
      <c r="K291" s="53"/>
    </row>
    <row r="292">
      <c r="B292" s="52"/>
      <c r="C292" s="53"/>
      <c r="D292" s="53"/>
      <c r="E292" s="53"/>
      <c r="F292" s="53"/>
      <c r="G292" s="53"/>
      <c r="H292" s="53"/>
      <c r="I292" s="53"/>
      <c r="J292" s="53"/>
      <c r="K292" s="53"/>
    </row>
    <row r="293">
      <c r="B293" s="52"/>
      <c r="C293" s="53"/>
      <c r="D293" s="53"/>
      <c r="E293" s="53"/>
      <c r="F293" s="53"/>
      <c r="G293" s="53"/>
      <c r="H293" s="53"/>
      <c r="I293" s="53"/>
      <c r="J293" s="53"/>
      <c r="K293" s="53"/>
    </row>
    <row r="294">
      <c r="B294" s="52"/>
      <c r="C294" s="53"/>
      <c r="D294" s="53"/>
      <c r="E294" s="53"/>
      <c r="F294" s="53"/>
      <c r="G294" s="53"/>
      <c r="H294" s="53"/>
      <c r="I294" s="53"/>
      <c r="J294" s="53"/>
      <c r="K294" s="53"/>
    </row>
    <row r="295">
      <c r="B295" s="52"/>
      <c r="C295" s="53"/>
      <c r="D295" s="53"/>
      <c r="E295" s="53"/>
      <c r="F295" s="53"/>
      <c r="G295" s="53"/>
      <c r="H295" s="53"/>
      <c r="I295" s="53"/>
      <c r="J295" s="53"/>
      <c r="K295" s="53"/>
    </row>
    <row r="296">
      <c r="B296" s="52"/>
      <c r="C296" s="53"/>
      <c r="D296" s="53"/>
      <c r="E296" s="53"/>
      <c r="F296" s="53"/>
      <c r="G296" s="53"/>
      <c r="H296" s="53"/>
      <c r="I296" s="53"/>
      <c r="J296" s="53"/>
      <c r="K296" s="53"/>
    </row>
    <row r="297">
      <c r="B297" s="52"/>
      <c r="C297" s="53"/>
      <c r="D297" s="53"/>
      <c r="E297" s="53"/>
      <c r="F297" s="53"/>
      <c r="G297" s="53"/>
      <c r="H297" s="53"/>
      <c r="I297" s="53"/>
      <c r="J297" s="53"/>
      <c r="K297" s="53"/>
    </row>
    <row r="298">
      <c r="B298" s="52"/>
      <c r="C298" s="53"/>
      <c r="D298" s="53"/>
      <c r="E298" s="53"/>
      <c r="F298" s="53"/>
      <c r="G298" s="53"/>
      <c r="H298" s="53"/>
      <c r="I298" s="53"/>
      <c r="J298" s="53"/>
      <c r="K298" s="53"/>
    </row>
    <row r="299">
      <c r="B299" s="52"/>
      <c r="C299" s="53"/>
      <c r="D299" s="53"/>
      <c r="E299" s="53"/>
      <c r="F299" s="53"/>
      <c r="G299" s="53"/>
      <c r="H299" s="53"/>
      <c r="I299" s="53"/>
      <c r="J299" s="53"/>
      <c r="K299" s="53"/>
    </row>
    <row r="300">
      <c r="B300" s="52"/>
      <c r="C300" s="53"/>
      <c r="D300" s="53"/>
      <c r="E300" s="53"/>
      <c r="F300" s="53"/>
      <c r="G300" s="53"/>
      <c r="H300" s="53"/>
      <c r="I300" s="53"/>
      <c r="J300" s="53"/>
      <c r="K300" s="53"/>
    </row>
    <row r="301">
      <c r="B301" s="52"/>
      <c r="C301" s="53"/>
      <c r="D301" s="53"/>
      <c r="E301" s="53"/>
      <c r="F301" s="53"/>
      <c r="G301" s="53"/>
      <c r="H301" s="53"/>
      <c r="I301" s="53"/>
      <c r="J301" s="53"/>
      <c r="K301" s="53"/>
    </row>
    <row r="302">
      <c r="B302" s="52"/>
      <c r="C302" s="53"/>
      <c r="D302" s="53"/>
      <c r="E302" s="53"/>
      <c r="F302" s="53"/>
      <c r="G302" s="53"/>
      <c r="H302" s="53"/>
      <c r="I302" s="53"/>
      <c r="J302" s="53"/>
      <c r="K302" s="53"/>
    </row>
    <row r="303">
      <c r="B303" s="52"/>
      <c r="C303" s="53"/>
      <c r="D303" s="53"/>
      <c r="E303" s="53"/>
      <c r="F303" s="53"/>
      <c r="G303" s="53"/>
      <c r="H303" s="53"/>
      <c r="I303" s="53"/>
      <c r="J303" s="53"/>
      <c r="K303" s="53"/>
    </row>
    <row r="304">
      <c r="B304" s="52"/>
      <c r="C304" s="53"/>
      <c r="D304" s="53"/>
      <c r="E304" s="53"/>
      <c r="F304" s="53"/>
      <c r="G304" s="53"/>
      <c r="H304" s="53"/>
      <c r="I304" s="53"/>
      <c r="J304" s="53"/>
      <c r="K304" s="53"/>
    </row>
    <row r="305">
      <c r="B305" s="52"/>
      <c r="C305" s="53"/>
      <c r="D305" s="53"/>
      <c r="E305" s="53"/>
      <c r="F305" s="53"/>
      <c r="G305" s="53"/>
      <c r="H305" s="53"/>
      <c r="I305" s="53"/>
      <c r="J305" s="53"/>
      <c r="K305" s="53"/>
    </row>
    <row r="306">
      <c r="B306" s="52"/>
      <c r="C306" s="53"/>
      <c r="D306" s="53"/>
      <c r="E306" s="53"/>
      <c r="F306" s="53"/>
      <c r="G306" s="53"/>
      <c r="H306" s="53"/>
      <c r="I306" s="53"/>
      <c r="J306" s="53"/>
      <c r="K306" s="53"/>
    </row>
    <row r="307">
      <c r="B307" s="52"/>
      <c r="C307" s="53"/>
      <c r="D307" s="53"/>
      <c r="E307" s="53"/>
      <c r="F307" s="53"/>
      <c r="G307" s="53"/>
      <c r="H307" s="53"/>
      <c r="I307" s="53"/>
      <c r="J307" s="53"/>
      <c r="K307" s="53"/>
    </row>
    <row r="308">
      <c r="B308" s="52"/>
      <c r="C308" s="53"/>
      <c r="D308" s="53"/>
      <c r="E308" s="53"/>
      <c r="F308" s="53"/>
      <c r="G308" s="53"/>
      <c r="H308" s="53"/>
      <c r="I308" s="53"/>
      <c r="J308" s="53"/>
      <c r="K308" s="53"/>
    </row>
    <row r="309">
      <c r="B309" s="52"/>
      <c r="C309" s="53"/>
      <c r="D309" s="53"/>
      <c r="E309" s="53"/>
      <c r="F309" s="53"/>
      <c r="G309" s="53"/>
      <c r="H309" s="53"/>
      <c r="I309" s="53"/>
      <c r="J309" s="53"/>
      <c r="K309" s="53"/>
    </row>
    <row r="310">
      <c r="B310" s="52"/>
      <c r="C310" s="53"/>
      <c r="D310" s="53"/>
      <c r="E310" s="53"/>
      <c r="F310" s="53"/>
      <c r="G310" s="53"/>
      <c r="H310" s="53"/>
      <c r="I310" s="53"/>
      <c r="J310" s="53"/>
      <c r="K310" s="53"/>
    </row>
    <row r="311">
      <c r="B311" s="52"/>
      <c r="C311" s="53"/>
      <c r="D311" s="53"/>
      <c r="E311" s="53"/>
      <c r="F311" s="53"/>
      <c r="G311" s="53"/>
      <c r="H311" s="53"/>
      <c r="I311" s="53"/>
      <c r="J311" s="53"/>
      <c r="K311" s="53"/>
    </row>
    <row r="312">
      <c r="B312" s="52"/>
      <c r="C312" s="53"/>
      <c r="D312" s="53"/>
      <c r="E312" s="53"/>
      <c r="F312" s="53"/>
      <c r="G312" s="53"/>
      <c r="H312" s="53"/>
      <c r="I312" s="53"/>
      <c r="J312" s="53"/>
      <c r="K312" s="53"/>
    </row>
    <row r="313">
      <c r="B313" s="52"/>
      <c r="C313" s="53"/>
      <c r="D313" s="53"/>
      <c r="E313" s="53"/>
      <c r="F313" s="53"/>
      <c r="G313" s="53"/>
      <c r="H313" s="53"/>
      <c r="I313" s="53"/>
      <c r="J313" s="53"/>
      <c r="K313" s="53"/>
    </row>
    <row r="314">
      <c r="B314" s="52"/>
      <c r="C314" s="53"/>
      <c r="D314" s="53"/>
      <c r="E314" s="53"/>
      <c r="F314" s="53"/>
      <c r="G314" s="53"/>
      <c r="H314" s="53"/>
      <c r="I314" s="53"/>
      <c r="J314" s="53"/>
      <c r="K314" s="53"/>
    </row>
    <row r="315">
      <c r="B315" s="52"/>
      <c r="C315" s="53"/>
      <c r="D315" s="53"/>
      <c r="E315" s="53"/>
      <c r="F315" s="53"/>
      <c r="G315" s="53"/>
      <c r="H315" s="53"/>
      <c r="I315" s="53"/>
      <c r="J315" s="53"/>
      <c r="K315" s="53"/>
    </row>
    <row r="316">
      <c r="B316" s="52"/>
      <c r="C316" s="53"/>
      <c r="D316" s="53"/>
      <c r="E316" s="53"/>
      <c r="F316" s="53"/>
      <c r="G316" s="53"/>
      <c r="H316" s="53"/>
      <c r="I316" s="53"/>
      <c r="J316" s="53"/>
      <c r="K316" s="53"/>
    </row>
    <row r="317">
      <c r="B317" s="52"/>
      <c r="C317" s="53"/>
      <c r="D317" s="53"/>
      <c r="E317" s="53"/>
      <c r="F317" s="53"/>
      <c r="G317" s="53"/>
      <c r="H317" s="53"/>
      <c r="I317" s="53"/>
      <c r="J317" s="53"/>
      <c r="K317" s="53"/>
    </row>
    <row r="318">
      <c r="B318" s="52"/>
      <c r="C318" s="53"/>
      <c r="D318" s="53"/>
      <c r="E318" s="53"/>
      <c r="F318" s="53"/>
      <c r="G318" s="53"/>
      <c r="H318" s="53"/>
      <c r="I318" s="53"/>
      <c r="J318" s="53"/>
      <c r="K318" s="53"/>
    </row>
    <row r="319">
      <c r="B319" s="52"/>
      <c r="C319" s="53"/>
      <c r="D319" s="53"/>
      <c r="E319" s="53"/>
      <c r="F319" s="53"/>
      <c r="G319" s="53"/>
      <c r="H319" s="53"/>
      <c r="I319" s="53"/>
      <c r="J319" s="53"/>
      <c r="K319" s="53"/>
    </row>
    <row r="320">
      <c r="B320" s="52"/>
      <c r="C320" s="53"/>
      <c r="D320" s="53"/>
      <c r="E320" s="53"/>
      <c r="F320" s="53"/>
      <c r="G320" s="53"/>
      <c r="H320" s="53"/>
      <c r="I320" s="53"/>
      <c r="J320" s="53"/>
      <c r="K320" s="53"/>
    </row>
    <row r="321">
      <c r="B321" s="52"/>
      <c r="C321" s="53"/>
      <c r="D321" s="53"/>
      <c r="E321" s="53"/>
      <c r="F321" s="53"/>
      <c r="G321" s="53"/>
      <c r="H321" s="53"/>
      <c r="I321" s="53"/>
      <c r="J321" s="53"/>
      <c r="K321" s="53"/>
    </row>
    <row r="322">
      <c r="B322" s="52"/>
      <c r="C322" s="53"/>
      <c r="D322" s="53"/>
      <c r="E322" s="53"/>
      <c r="F322" s="53"/>
      <c r="G322" s="53"/>
      <c r="H322" s="53"/>
      <c r="I322" s="53"/>
      <c r="J322" s="53"/>
      <c r="K322" s="53"/>
    </row>
    <row r="323">
      <c r="B323" s="52"/>
      <c r="C323" s="53"/>
      <c r="D323" s="53"/>
      <c r="E323" s="53"/>
      <c r="F323" s="53"/>
      <c r="G323" s="53"/>
      <c r="H323" s="53"/>
      <c r="I323" s="53"/>
      <c r="J323" s="53"/>
      <c r="K323" s="53"/>
    </row>
    <row r="324">
      <c r="B324" s="52"/>
      <c r="C324" s="53"/>
      <c r="D324" s="53"/>
      <c r="E324" s="53"/>
      <c r="F324" s="53"/>
      <c r="G324" s="53"/>
      <c r="H324" s="53"/>
      <c r="I324" s="53"/>
      <c r="J324" s="53"/>
      <c r="K324" s="53"/>
    </row>
    <row r="325">
      <c r="B325" s="52"/>
      <c r="C325" s="53"/>
      <c r="D325" s="53"/>
      <c r="E325" s="53"/>
      <c r="F325" s="53"/>
      <c r="G325" s="53"/>
      <c r="H325" s="53"/>
      <c r="I325" s="53"/>
      <c r="J325" s="53"/>
      <c r="K325" s="53"/>
    </row>
    <row r="326">
      <c r="B326" s="52"/>
      <c r="C326" s="53"/>
      <c r="D326" s="53"/>
      <c r="E326" s="53"/>
      <c r="F326" s="53"/>
      <c r="G326" s="53"/>
      <c r="H326" s="53"/>
      <c r="I326" s="53"/>
      <c r="J326" s="53"/>
      <c r="K326" s="53"/>
    </row>
    <row r="327">
      <c r="B327" s="52"/>
      <c r="C327" s="53"/>
      <c r="D327" s="53"/>
      <c r="E327" s="53"/>
      <c r="F327" s="53"/>
      <c r="G327" s="53"/>
      <c r="H327" s="53"/>
      <c r="I327" s="53"/>
      <c r="J327" s="53"/>
      <c r="K327" s="53"/>
    </row>
    <row r="328">
      <c r="B328" s="52"/>
      <c r="C328" s="53"/>
      <c r="D328" s="53"/>
      <c r="E328" s="53"/>
      <c r="F328" s="53"/>
      <c r="G328" s="53"/>
      <c r="H328" s="53"/>
      <c r="I328" s="53"/>
      <c r="J328" s="53"/>
      <c r="K328" s="53"/>
    </row>
    <row r="329">
      <c r="B329" s="52"/>
      <c r="C329" s="53"/>
      <c r="D329" s="53"/>
      <c r="E329" s="53"/>
      <c r="F329" s="53"/>
      <c r="G329" s="53"/>
      <c r="H329" s="53"/>
      <c r="I329" s="53"/>
      <c r="J329" s="53"/>
      <c r="K329" s="53"/>
    </row>
    <row r="330">
      <c r="B330" s="52"/>
      <c r="C330" s="53"/>
      <c r="D330" s="53"/>
      <c r="E330" s="53"/>
      <c r="F330" s="53"/>
      <c r="G330" s="53"/>
      <c r="H330" s="53"/>
      <c r="I330" s="53"/>
      <c r="J330" s="53"/>
      <c r="K330" s="53"/>
    </row>
    <row r="331">
      <c r="B331" s="52"/>
      <c r="C331" s="53"/>
      <c r="D331" s="53"/>
      <c r="E331" s="53"/>
      <c r="F331" s="53"/>
      <c r="G331" s="53"/>
      <c r="H331" s="53"/>
      <c r="I331" s="53"/>
      <c r="J331" s="53"/>
      <c r="K331" s="53"/>
    </row>
    <row r="332">
      <c r="B332" s="52"/>
      <c r="C332" s="53"/>
      <c r="D332" s="53"/>
      <c r="E332" s="53"/>
      <c r="F332" s="53"/>
      <c r="G332" s="53"/>
      <c r="H332" s="53"/>
      <c r="I332" s="53"/>
      <c r="J332" s="53"/>
      <c r="K332" s="53"/>
    </row>
    <row r="333">
      <c r="B333" s="52"/>
      <c r="C333" s="53"/>
      <c r="D333" s="53"/>
      <c r="E333" s="53"/>
      <c r="F333" s="53"/>
      <c r="G333" s="53"/>
      <c r="H333" s="53"/>
      <c r="I333" s="53"/>
      <c r="J333" s="53"/>
      <c r="K333" s="53"/>
    </row>
    <row r="334">
      <c r="B334" s="52"/>
      <c r="C334" s="53"/>
      <c r="D334" s="53"/>
      <c r="E334" s="53"/>
      <c r="F334" s="53"/>
      <c r="G334" s="53"/>
      <c r="H334" s="53"/>
      <c r="I334" s="53"/>
      <c r="J334" s="53"/>
      <c r="K334" s="53"/>
    </row>
    <row r="335">
      <c r="B335" s="52"/>
      <c r="C335" s="53"/>
      <c r="D335" s="53"/>
      <c r="E335" s="53"/>
      <c r="F335" s="53"/>
      <c r="G335" s="53"/>
      <c r="H335" s="53"/>
      <c r="I335" s="53"/>
      <c r="J335" s="53"/>
      <c r="K335" s="53"/>
    </row>
    <row r="336">
      <c r="B336" s="52"/>
      <c r="C336" s="53"/>
      <c r="D336" s="53"/>
      <c r="E336" s="53"/>
      <c r="F336" s="53"/>
      <c r="G336" s="53"/>
      <c r="H336" s="53"/>
      <c r="I336" s="53"/>
      <c r="J336" s="53"/>
      <c r="K336" s="53"/>
    </row>
    <row r="337">
      <c r="B337" s="52"/>
      <c r="C337" s="53"/>
      <c r="D337" s="53"/>
      <c r="E337" s="53"/>
      <c r="F337" s="53"/>
      <c r="G337" s="53"/>
      <c r="H337" s="53"/>
      <c r="I337" s="53"/>
      <c r="J337" s="53"/>
      <c r="K337" s="53"/>
    </row>
    <row r="338">
      <c r="B338" s="52"/>
      <c r="C338" s="53"/>
      <c r="D338" s="53"/>
      <c r="E338" s="53"/>
      <c r="F338" s="53"/>
      <c r="G338" s="53"/>
      <c r="H338" s="53"/>
      <c r="I338" s="53"/>
      <c r="J338" s="53"/>
      <c r="K338" s="53"/>
    </row>
    <row r="339">
      <c r="B339" s="52"/>
      <c r="C339" s="53"/>
      <c r="D339" s="53"/>
      <c r="E339" s="53"/>
      <c r="F339" s="53"/>
      <c r="G339" s="53"/>
      <c r="H339" s="53"/>
      <c r="I339" s="53"/>
      <c r="J339" s="53"/>
      <c r="K339" s="53"/>
    </row>
    <row r="340">
      <c r="B340" s="52"/>
      <c r="C340" s="53"/>
      <c r="D340" s="53"/>
      <c r="E340" s="53"/>
      <c r="F340" s="53"/>
      <c r="G340" s="53"/>
      <c r="H340" s="53"/>
      <c r="I340" s="53"/>
      <c r="J340" s="53"/>
      <c r="K340" s="53"/>
    </row>
    <row r="341">
      <c r="B341" s="52"/>
      <c r="C341" s="53"/>
      <c r="D341" s="53"/>
      <c r="E341" s="53"/>
      <c r="F341" s="53"/>
      <c r="G341" s="53"/>
      <c r="H341" s="53"/>
      <c r="I341" s="53"/>
      <c r="J341" s="53"/>
      <c r="K341" s="53"/>
    </row>
    <row r="342">
      <c r="B342" s="52"/>
      <c r="C342" s="53"/>
      <c r="D342" s="53"/>
      <c r="E342" s="53"/>
      <c r="F342" s="53"/>
      <c r="G342" s="53"/>
      <c r="H342" s="53"/>
      <c r="I342" s="53"/>
      <c r="J342" s="53"/>
      <c r="K342" s="53"/>
    </row>
    <row r="343">
      <c r="B343" s="52"/>
      <c r="C343" s="53"/>
      <c r="D343" s="53"/>
      <c r="E343" s="53"/>
      <c r="F343" s="53"/>
      <c r="G343" s="53"/>
      <c r="H343" s="53"/>
      <c r="I343" s="53"/>
      <c r="J343" s="53"/>
      <c r="K343" s="53"/>
    </row>
    <row r="344">
      <c r="B344" s="52"/>
      <c r="C344" s="53"/>
      <c r="D344" s="53"/>
      <c r="E344" s="53"/>
      <c r="F344" s="53"/>
      <c r="G344" s="53"/>
      <c r="H344" s="53"/>
      <c r="I344" s="53"/>
      <c r="J344" s="53"/>
      <c r="K344" s="53"/>
    </row>
    <row r="345">
      <c r="B345" s="52"/>
      <c r="C345" s="53"/>
      <c r="D345" s="53"/>
      <c r="E345" s="53"/>
      <c r="F345" s="53"/>
      <c r="G345" s="53"/>
      <c r="H345" s="53"/>
      <c r="I345" s="53"/>
      <c r="J345" s="53"/>
      <c r="K345" s="53"/>
    </row>
    <row r="346">
      <c r="B346" s="52"/>
      <c r="C346" s="53"/>
      <c r="D346" s="53"/>
      <c r="E346" s="53"/>
      <c r="F346" s="53"/>
      <c r="G346" s="53"/>
      <c r="H346" s="53"/>
      <c r="I346" s="53"/>
      <c r="J346" s="53"/>
      <c r="K346" s="53"/>
    </row>
    <row r="347">
      <c r="B347" s="52"/>
      <c r="C347" s="53"/>
      <c r="D347" s="53"/>
      <c r="E347" s="53"/>
      <c r="F347" s="53"/>
      <c r="G347" s="53"/>
      <c r="H347" s="53"/>
      <c r="I347" s="53"/>
      <c r="J347" s="53"/>
      <c r="K347" s="53"/>
    </row>
    <row r="348">
      <c r="B348" s="52"/>
      <c r="C348" s="53"/>
      <c r="D348" s="53"/>
      <c r="E348" s="53"/>
      <c r="F348" s="53"/>
      <c r="G348" s="53"/>
      <c r="H348" s="53"/>
      <c r="I348" s="53"/>
      <c r="J348" s="53"/>
      <c r="K348" s="53"/>
    </row>
    <row r="349">
      <c r="B349" s="52"/>
      <c r="C349" s="53"/>
      <c r="D349" s="53"/>
      <c r="E349" s="53"/>
      <c r="F349" s="53"/>
      <c r="G349" s="53"/>
      <c r="H349" s="53"/>
      <c r="I349" s="53"/>
      <c r="J349" s="53"/>
      <c r="K349" s="53"/>
    </row>
    <row r="350">
      <c r="B350" s="52"/>
      <c r="C350" s="53"/>
      <c r="D350" s="53"/>
      <c r="E350" s="53"/>
      <c r="F350" s="53"/>
      <c r="G350" s="53"/>
      <c r="H350" s="53"/>
      <c r="I350" s="53"/>
      <c r="J350" s="53"/>
      <c r="K350" s="53"/>
    </row>
    <row r="351">
      <c r="B351" s="52"/>
      <c r="C351" s="53"/>
      <c r="D351" s="53"/>
      <c r="E351" s="53"/>
      <c r="F351" s="53"/>
      <c r="G351" s="53"/>
      <c r="H351" s="53"/>
      <c r="I351" s="53"/>
      <c r="J351" s="53"/>
      <c r="K351" s="53"/>
    </row>
    <row r="352">
      <c r="B352" s="52"/>
      <c r="C352" s="53"/>
      <c r="D352" s="53"/>
      <c r="E352" s="53"/>
      <c r="F352" s="53"/>
      <c r="G352" s="53"/>
      <c r="H352" s="53"/>
      <c r="I352" s="53"/>
      <c r="J352" s="53"/>
      <c r="K352" s="53"/>
    </row>
    <row r="353">
      <c r="B353" s="52"/>
      <c r="C353" s="53"/>
      <c r="D353" s="53"/>
      <c r="E353" s="53"/>
      <c r="F353" s="53"/>
      <c r="G353" s="53"/>
      <c r="H353" s="53"/>
      <c r="I353" s="53"/>
      <c r="J353" s="53"/>
      <c r="K353" s="53"/>
    </row>
    <row r="354">
      <c r="B354" s="52"/>
      <c r="C354" s="53"/>
      <c r="D354" s="53"/>
      <c r="E354" s="53"/>
      <c r="F354" s="53"/>
      <c r="G354" s="53"/>
      <c r="H354" s="53"/>
      <c r="I354" s="53"/>
      <c r="J354" s="53"/>
      <c r="K354" s="53"/>
    </row>
    <row r="355">
      <c r="B355" s="52"/>
      <c r="C355" s="53"/>
      <c r="D355" s="53"/>
      <c r="E355" s="53"/>
      <c r="F355" s="53"/>
      <c r="G355" s="53"/>
      <c r="H355" s="53"/>
      <c r="I355" s="53"/>
      <c r="J355" s="53"/>
      <c r="K355" s="53"/>
    </row>
    <row r="356">
      <c r="B356" s="52"/>
      <c r="C356" s="53"/>
      <c r="D356" s="53"/>
      <c r="E356" s="53"/>
      <c r="F356" s="53"/>
      <c r="G356" s="53"/>
      <c r="H356" s="53"/>
      <c r="I356" s="53"/>
      <c r="J356" s="53"/>
      <c r="K356" s="53"/>
    </row>
    <row r="357">
      <c r="B357" s="52"/>
      <c r="C357" s="53"/>
      <c r="D357" s="53"/>
      <c r="E357" s="53"/>
      <c r="F357" s="53"/>
      <c r="G357" s="53"/>
      <c r="H357" s="53"/>
      <c r="I357" s="53"/>
      <c r="J357" s="53"/>
      <c r="K357" s="53"/>
    </row>
    <row r="358">
      <c r="B358" s="52"/>
      <c r="C358" s="53"/>
      <c r="D358" s="53"/>
      <c r="E358" s="53"/>
      <c r="F358" s="53"/>
      <c r="G358" s="53"/>
      <c r="H358" s="53"/>
      <c r="I358" s="53"/>
      <c r="J358" s="53"/>
      <c r="K358" s="53"/>
    </row>
    <row r="359">
      <c r="B359" s="52"/>
      <c r="C359" s="53"/>
      <c r="D359" s="53"/>
      <c r="E359" s="53"/>
      <c r="F359" s="53"/>
      <c r="G359" s="53"/>
      <c r="H359" s="53"/>
      <c r="I359" s="53"/>
      <c r="J359" s="53"/>
      <c r="K359" s="53"/>
    </row>
    <row r="360">
      <c r="B360" s="52"/>
      <c r="C360" s="53"/>
      <c r="D360" s="53"/>
      <c r="E360" s="53"/>
      <c r="F360" s="53"/>
      <c r="G360" s="53"/>
      <c r="H360" s="53"/>
      <c r="I360" s="53"/>
      <c r="J360" s="53"/>
      <c r="K360" s="53"/>
    </row>
    <row r="361">
      <c r="B361" s="52"/>
      <c r="C361" s="53"/>
      <c r="D361" s="53"/>
      <c r="E361" s="53"/>
      <c r="F361" s="53"/>
      <c r="G361" s="53"/>
      <c r="H361" s="53"/>
      <c r="I361" s="53"/>
      <c r="J361" s="53"/>
      <c r="K361" s="53"/>
    </row>
    <row r="362">
      <c r="B362" s="52"/>
      <c r="C362" s="53"/>
      <c r="D362" s="53"/>
      <c r="E362" s="53"/>
      <c r="F362" s="53"/>
      <c r="G362" s="53"/>
      <c r="H362" s="53"/>
      <c r="I362" s="53"/>
      <c r="J362" s="53"/>
      <c r="K362" s="53"/>
    </row>
    <row r="363">
      <c r="B363" s="52"/>
      <c r="C363" s="53"/>
      <c r="D363" s="53"/>
      <c r="E363" s="53"/>
      <c r="F363" s="53"/>
      <c r="G363" s="53"/>
      <c r="H363" s="53"/>
      <c r="I363" s="53"/>
      <c r="J363" s="53"/>
      <c r="K363" s="53"/>
    </row>
    <row r="364">
      <c r="B364" s="52"/>
      <c r="C364" s="53"/>
      <c r="D364" s="53"/>
      <c r="E364" s="53"/>
      <c r="F364" s="53"/>
      <c r="G364" s="53"/>
      <c r="H364" s="53"/>
      <c r="I364" s="53"/>
      <c r="J364" s="53"/>
      <c r="K364" s="53"/>
    </row>
    <row r="365">
      <c r="B365" s="52"/>
      <c r="C365" s="53"/>
      <c r="D365" s="53"/>
      <c r="E365" s="53"/>
      <c r="F365" s="53"/>
      <c r="G365" s="53"/>
      <c r="H365" s="53"/>
      <c r="I365" s="53"/>
      <c r="J365" s="53"/>
      <c r="K365" s="53"/>
    </row>
    <row r="366">
      <c r="B366" s="52"/>
      <c r="C366" s="53"/>
      <c r="D366" s="53"/>
      <c r="E366" s="53"/>
      <c r="F366" s="53"/>
      <c r="G366" s="53"/>
      <c r="H366" s="53"/>
      <c r="I366" s="53"/>
      <c r="J366" s="53"/>
      <c r="K366" s="53"/>
    </row>
    <row r="367">
      <c r="B367" s="52"/>
      <c r="C367" s="53"/>
      <c r="D367" s="53"/>
      <c r="E367" s="53"/>
      <c r="F367" s="53"/>
      <c r="G367" s="53"/>
      <c r="H367" s="53"/>
      <c r="I367" s="53"/>
      <c r="J367" s="53"/>
      <c r="K367" s="53"/>
    </row>
    <row r="368">
      <c r="B368" s="52"/>
      <c r="C368" s="53"/>
      <c r="D368" s="53"/>
      <c r="E368" s="53"/>
      <c r="F368" s="53"/>
      <c r="G368" s="53"/>
      <c r="H368" s="53"/>
      <c r="I368" s="53"/>
      <c r="J368" s="53"/>
      <c r="K368" s="53"/>
    </row>
    <row r="369">
      <c r="B369" s="52"/>
      <c r="C369" s="53"/>
      <c r="D369" s="53"/>
      <c r="E369" s="53"/>
      <c r="F369" s="53"/>
      <c r="G369" s="53"/>
      <c r="H369" s="53"/>
      <c r="I369" s="53"/>
      <c r="J369" s="53"/>
      <c r="K369" s="53"/>
    </row>
    <row r="370">
      <c r="B370" s="52"/>
      <c r="C370" s="53"/>
      <c r="D370" s="53"/>
      <c r="E370" s="53"/>
      <c r="F370" s="53"/>
      <c r="G370" s="53"/>
      <c r="H370" s="53"/>
      <c r="I370" s="53"/>
      <c r="J370" s="53"/>
      <c r="K370" s="53"/>
    </row>
    <row r="371">
      <c r="B371" s="52"/>
      <c r="C371" s="53"/>
      <c r="D371" s="53"/>
      <c r="E371" s="53"/>
      <c r="F371" s="53"/>
      <c r="G371" s="53"/>
      <c r="H371" s="53"/>
      <c r="I371" s="53"/>
      <c r="J371" s="53"/>
      <c r="K371" s="53"/>
    </row>
    <row r="372">
      <c r="B372" s="52"/>
      <c r="C372" s="53"/>
      <c r="D372" s="53"/>
      <c r="E372" s="53"/>
      <c r="F372" s="53"/>
      <c r="G372" s="53"/>
      <c r="H372" s="53"/>
      <c r="I372" s="53"/>
      <c r="J372" s="53"/>
      <c r="K372" s="53"/>
    </row>
    <row r="373">
      <c r="B373" s="52"/>
      <c r="C373" s="53"/>
      <c r="D373" s="53"/>
      <c r="E373" s="53"/>
      <c r="F373" s="53"/>
      <c r="G373" s="53"/>
      <c r="H373" s="53"/>
      <c r="I373" s="53"/>
      <c r="J373" s="53"/>
      <c r="K373" s="53"/>
    </row>
    <row r="374">
      <c r="B374" s="52"/>
      <c r="C374" s="53"/>
      <c r="D374" s="53"/>
      <c r="E374" s="53"/>
      <c r="F374" s="53"/>
      <c r="G374" s="53"/>
      <c r="H374" s="53"/>
      <c r="I374" s="53"/>
      <c r="J374" s="53"/>
      <c r="K374" s="53"/>
    </row>
    <row r="375">
      <c r="B375" s="52"/>
      <c r="C375" s="53"/>
      <c r="D375" s="53"/>
      <c r="E375" s="53"/>
      <c r="F375" s="53"/>
      <c r="G375" s="53"/>
      <c r="H375" s="53"/>
      <c r="I375" s="53"/>
      <c r="J375" s="53"/>
      <c r="K375" s="53"/>
    </row>
    <row r="376">
      <c r="B376" s="52"/>
      <c r="C376" s="53"/>
      <c r="D376" s="53"/>
      <c r="E376" s="53"/>
      <c r="F376" s="53"/>
      <c r="G376" s="53"/>
      <c r="H376" s="53"/>
      <c r="I376" s="53"/>
      <c r="J376" s="53"/>
      <c r="K376" s="53"/>
    </row>
    <row r="377">
      <c r="B377" s="52"/>
      <c r="C377" s="53"/>
      <c r="D377" s="53"/>
      <c r="E377" s="53"/>
      <c r="F377" s="53"/>
      <c r="G377" s="53"/>
      <c r="H377" s="53"/>
      <c r="I377" s="53"/>
      <c r="J377" s="53"/>
      <c r="K377" s="53"/>
    </row>
    <row r="378">
      <c r="B378" s="52"/>
      <c r="C378" s="53"/>
      <c r="D378" s="53"/>
      <c r="E378" s="53"/>
      <c r="F378" s="53"/>
      <c r="G378" s="53"/>
      <c r="H378" s="53"/>
      <c r="I378" s="53"/>
      <c r="J378" s="53"/>
      <c r="K378" s="53"/>
    </row>
    <row r="379">
      <c r="B379" s="52"/>
      <c r="C379" s="53"/>
      <c r="D379" s="53"/>
      <c r="E379" s="53"/>
      <c r="F379" s="53"/>
      <c r="G379" s="53"/>
      <c r="H379" s="53"/>
      <c r="I379" s="53"/>
      <c r="J379" s="53"/>
      <c r="K379" s="53"/>
    </row>
    <row r="380">
      <c r="B380" s="52"/>
      <c r="C380" s="53"/>
      <c r="D380" s="53"/>
      <c r="E380" s="53"/>
      <c r="F380" s="53"/>
      <c r="G380" s="53"/>
      <c r="H380" s="53"/>
      <c r="I380" s="53"/>
      <c r="J380" s="53"/>
      <c r="K380" s="53"/>
    </row>
    <row r="381">
      <c r="B381" s="52"/>
      <c r="C381" s="53"/>
      <c r="D381" s="53"/>
      <c r="E381" s="53"/>
      <c r="F381" s="53"/>
      <c r="G381" s="53"/>
      <c r="H381" s="53"/>
      <c r="I381" s="53"/>
      <c r="J381" s="53"/>
      <c r="K381" s="53"/>
    </row>
    <row r="382">
      <c r="B382" s="52"/>
      <c r="C382" s="53"/>
      <c r="D382" s="53"/>
      <c r="E382" s="53"/>
      <c r="F382" s="53"/>
      <c r="G382" s="53"/>
      <c r="H382" s="53"/>
      <c r="I382" s="53"/>
      <c r="J382" s="53"/>
      <c r="K382" s="53"/>
    </row>
    <row r="383">
      <c r="B383" s="52"/>
      <c r="C383" s="53"/>
      <c r="D383" s="53"/>
      <c r="E383" s="53"/>
      <c r="F383" s="53"/>
      <c r="G383" s="53"/>
      <c r="H383" s="53"/>
      <c r="I383" s="53"/>
      <c r="J383" s="53"/>
      <c r="K383" s="53"/>
    </row>
    <row r="384">
      <c r="B384" s="52"/>
      <c r="C384" s="53"/>
      <c r="D384" s="53"/>
      <c r="E384" s="53"/>
      <c r="F384" s="53"/>
      <c r="G384" s="53"/>
      <c r="H384" s="53"/>
      <c r="I384" s="53"/>
      <c r="J384" s="53"/>
      <c r="K384" s="53"/>
    </row>
    <row r="385">
      <c r="B385" s="52"/>
      <c r="C385" s="53"/>
      <c r="D385" s="53"/>
      <c r="E385" s="53"/>
      <c r="F385" s="53"/>
      <c r="G385" s="53"/>
      <c r="H385" s="53"/>
      <c r="I385" s="53"/>
      <c r="J385" s="53"/>
      <c r="K385" s="53"/>
    </row>
    <row r="386">
      <c r="B386" s="52"/>
      <c r="C386" s="53"/>
      <c r="D386" s="53"/>
      <c r="E386" s="53"/>
      <c r="F386" s="53"/>
      <c r="G386" s="53"/>
      <c r="H386" s="53"/>
      <c r="I386" s="53"/>
      <c r="J386" s="53"/>
      <c r="K386" s="53"/>
    </row>
    <row r="387">
      <c r="B387" s="52"/>
      <c r="C387" s="53"/>
      <c r="D387" s="53"/>
      <c r="E387" s="53"/>
      <c r="F387" s="53"/>
      <c r="G387" s="53"/>
      <c r="H387" s="53"/>
      <c r="I387" s="53"/>
      <c r="J387" s="53"/>
      <c r="K387" s="53"/>
    </row>
    <row r="388">
      <c r="B388" s="52"/>
      <c r="C388" s="53"/>
      <c r="D388" s="53"/>
      <c r="E388" s="53"/>
      <c r="F388" s="53"/>
      <c r="G388" s="53"/>
      <c r="H388" s="53"/>
      <c r="I388" s="53"/>
      <c r="J388" s="53"/>
      <c r="K388" s="53"/>
    </row>
    <row r="389">
      <c r="B389" s="52"/>
      <c r="C389" s="53"/>
      <c r="D389" s="53"/>
      <c r="E389" s="53"/>
      <c r="F389" s="53"/>
      <c r="G389" s="53"/>
      <c r="H389" s="53"/>
      <c r="I389" s="53"/>
      <c r="J389" s="53"/>
      <c r="K389" s="53"/>
    </row>
    <row r="390">
      <c r="B390" s="52"/>
      <c r="C390" s="53"/>
      <c r="D390" s="53"/>
      <c r="E390" s="53"/>
      <c r="F390" s="53"/>
      <c r="G390" s="53"/>
      <c r="H390" s="53"/>
      <c r="I390" s="53"/>
      <c r="J390" s="53"/>
      <c r="K390" s="53"/>
    </row>
    <row r="391">
      <c r="B391" s="52"/>
      <c r="C391" s="53"/>
      <c r="D391" s="53"/>
      <c r="E391" s="53"/>
      <c r="F391" s="53"/>
      <c r="G391" s="53"/>
      <c r="H391" s="53"/>
      <c r="I391" s="53"/>
      <c r="J391" s="53"/>
      <c r="K391" s="53"/>
    </row>
    <row r="392">
      <c r="B392" s="52"/>
      <c r="C392" s="53"/>
      <c r="D392" s="53"/>
      <c r="E392" s="53"/>
      <c r="F392" s="53"/>
      <c r="G392" s="53"/>
      <c r="H392" s="53"/>
      <c r="I392" s="53"/>
      <c r="J392" s="53"/>
      <c r="K392" s="53"/>
    </row>
    <row r="393">
      <c r="B393" s="52"/>
      <c r="C393" s="53"/>
      <c r="D393" s="53"/>
      <c r="E393" s="53"/>
      <c r="F393" s="53"/>
      <c r="G393" s="53"/>
      <c r="H393" s="53"/>
      <c r="I393" s="53"/>
      <c r="J393" s="53"/>
      <c r="K393" s="53"/>
    </row>
    <row r="394">
      <c r="B394" s="52"/>
      <c r="C394" s="53"/>
      <c r="D394" s="53"/>
      <c r="E394" s="53"/>
      <c r="F394" s="53"/>
      <c r="G394" s="53"/>
      <c r="H394" s="53"/>
      <c r="I394" s="53"/>
      <c r="J394" s="53"/>
      <c r="K394" s="53"/>
    </row>
    <row r="395">
      <c r="B395" s="52"/>
      <c r="C395" s="53"/>
      <c r="D395" s="53"/>
      <c r="E395" s="53"/>
      <c r="F395" s="53"/>
      <c r="G395" s="53"/>
      <c r="H395" s="53"/>
      <c r="I395" s="53"/>
      <c r="J395" s="53"/>
      <c r="K395" s="53"/>
    </row>
    <row r="396">
      <c r="B396" s="52"/>
      <c r="C396" s="53"/>
      <c r="D396" s="53"/>
      <c r="E396" s="53"/>
      <c r="F396" s="53"/>
      <c r="G396" s="53"/>
      <c r="H396" s="53"/>
      <c r="I396" s="53"/>
      <c r="J396" s="53"/>
      <c r="K396" s="53"/>
    </row>
    <row r="397">
      <c r="B397" s="52"/>
      <c r="C397" s="53"/>
      <c r="D397" s="53"/>
      <c r="E397" s="53"/>
      <c r="F397" s="53"/>
      <c r="G397" s="53"/>
      <c r="H397" s="53"/>
      <c r="I397" s="53"/>
      <c r="J397" s="53"/>
      <c r="K397" s="53"/>
    </row>
    <row r="398">
      <c r="B398" s="52"/>
      <c r="C398" s="53"/>
      <c r="D398" s="53"/>
      <c r="E398" s="53"/>
      <c r="F398" s="53"/>
      <c r="G398" s="53"/>
      <c r="H398" s="53"/>
      <c r="I398" s="53"/>
      <c r="J398" s="53"/>
      <c r="K398" s="53"/>
    </row>
    <row r="399">
      <c r="B399" s="52"/>
      <c r="C399" s="53"/>
      <c r="D399" s="53"/>
      <c r="E399" s="53"/>
      <c r="F399" s="53"/>
      <c r="G399" s="53"/>
      <c r="H399" s="53"/>
      <c r="I399" s="53"/>
      <c r="J399" s="53"/>
      <c r="K399" s="53"/>
    </row>
    <row r="400">
      <c r="B400" s="52"/>
      <c r="C400" s="53"/>
      <c r="D400" s="53"/>
      <c r="E400" s="53"/>
      <c r="F400" s="53"/>
      <c r="G400" s="53"/>
      <c r="H400" s="53"/>
      <c r="I400" s="53"/>
      <c r="J400" s="53"/>
      <c r="K400" s="53"/>
    </row>
    <row r="401">
      <c r="B401" s="52"/>
      <c r="C401" s="53"/>
      <c r="D401" s="53"/>
      <c r="E401" s="53"/>
      <c r="F401" s="53"/>
      <c r="G401" s="53"/>
      <c r="H401" s="53"/>
      <c r="I401" s="53"/>
      <c r="J401" s="53"/>
      <c r="K401" s="53"/>
    </row>
    <row r="402">
      <c r="B402" s="52"/>
      <c r="C402" s="53"/>
      <c r="D402" s="53"/>
      <c r="E402" s="53"/>
      <c r="F402" s="53"/>
      <c r="G402" s="53"/>
      <c r="H402" s="53"/>
      <c r="I402" s="53"/>
      <c r="J402" s="53"/>
      <c r="K402" s="53"/>
    </row>
    <row r="403">
      <c r="B403" s="52"/>
      <c r="C403" s="53"/>
      <c r="D403" s="53"/>
      <c r="E403" s="53"/>
      <c r="F403" s="53"/>
      <c r="G403" s="53"/>
      <c r="H403" s="53"/>
      <c r="I403" s="53"/>
      <c r="J403" s="53"/>
      <c r="K403" s="53"/>
    </row>
    <row r="404">
      <c r="B404" s="52"/>
      <c r="C404" s="53"/>
      <c r="D404" s="53"/>
      <c r="E404" s="53"/>
      <c r="F404" s="53"/>
      <c r="G404" s="53"/>
      <c r="H404" s="53"/>
      <c r="I404" s="53"/>
      <c r="J404" s="53"/>
      <c r="K404" s="53"/>
    </row>
    <row r="405">
      <c r="B405" s="52"/>
      <c r="C405" s="53"/>
      <c r="D405" s="53"/>
      <c r="E405" s="53"/>
      <c r="F405" s="53"/>
      <c r="G405" s="53"/>
      <c r="H405" s="53"/>
      <c r="I405" s="53"/>
      <c r="J405" s="53"/>
      <c r="K405" s="53"/>
    </row>
    <row r="406">
      <c r="B406" s="52"/>
      <c r="C406" s="53"/>
      <c r="D406" s="53"/>
      <c r="E406" s="53"/>
      <c r="F406" s="53"/>
      <c r="G406" s="53"/>
      <c r="H406" s="53"/>
      <c r="I406" s="53"/>
      <c r="J406" s="53"/>
      <c r="K406" s="53"/>
    </row>
    <row r="407">
      <c r="B407" s="52"/>
      <c r="C407" s="53"/>
      <c r="D407" s="53"/>
      <c r="E407" s="53"/>
      <c r="F407" s="53"/>
      <c r="G407" s="53"/>
      <c r="H407" s="53"/>
      <c r="I407" s="53"/>
      <c r="J407" s="53"/>
      <c r="K407" s="53"/>
    </row>
    <row r="408">
      <c r="B408" s="52"/>
      <c r="C408" s="53"/>
      <c r="D408" s="53"/>
      <c r="E408" s="53"/>
      <c r="F408" s="53"/>
      <c r="G408" s="53"/>
      <c r="H408" s="53"/>
      <c r="I408" s="53"/>
      <c r="J408" s="53"/>
      <c r="K408" s="53"/>
    </row>
    <row r="409">
      <c r="B409" s="52"/>
      <c r="C409" s="53"/>
      <c r="D409" s="53"/>
      <c r="E409" s="53"/>
      <c r="F409" s="53"/>
      <c r="G409" s="53"/>
      <c r="H409" s="53"/>
      <c r="I409" s="53"/>
      <c r="J409" s="53"/>
      <c r="K409" s="53"/>
    </row>
    <row r="410">
      <c r="B410" s="52"/>
      <c r="C410" s="53"/>
      <c r="D410" s="53"/>
      <c r="E410" s="53"/>
      <c r="F410" s="53"/>
      <c r="G410" s="53"/>
      <c r="H410" s="53"/>
      <c r="I410" s="53"/>
      <c r="J410" s="53"/>
      <c r="K410" s="53"/>
    </row>
    <row r="411">
      <c r="B411" s="52"/>
      <c r="C411" s="53"/>
      <c r="D411" s="53"/>
      <c r="E411" s="53"/>
      <c r="F411" s="53"/>
      <c r="G411" s="53"/>
      <c r="H411" s="53"/>
      <c r="I411" s="53"/>
      <c r="J411" s="53"/>
      <c r="K411" s="53"/>
    </row>
    <row r="412">
      <c r="B412" s="52"/>
      <c r="C412" s="53"/>
      <c r="D412" s="53"/>
      <c r="E412" s="53"/>
      <c r="F412" s="53"/>
      <c r="G412" s="53"/>
      <c r="H412" s="53"/>
      <c r="I412" s="53"/>
      <c r="J412" s="53"/>
      <c r="K412" s="53"/>
    </row>
    <row r="413">
      <c r="B413" s="52"/>
      <c r="C413" s="53"/>
      <c r="D413" s="53"/>
      <c r="E413" s="53"/>
      <c r="F413" s="53"/>
      <c r="G413" s="53"/>
      <c r="H413" s="53"/>
      <c r="I413" s="53"/>
      <c r="J413" s="53"/>
      <c r="K413" s="53"/>
    </row>
    <row r="414">
      <c r="B414" s="52"/>
      <c r="C414" s="53"/>
      <c r="D414" s="53"/>
      <c r="E414" s="53"/>
      <c r="F414" s="53"/>
      <c r="G414" s="53"/>
      <c r="H414" s="53"/>
      <c r="I414" s="53"/>
      <c r="J414" s="53"/>
      <c r="K414" s="53"/>
    </row>
    <row r="415">
      <c r="B415" s="52"/>
      <c r="C415" s="53"/>
      <c r="D415" s="53"/>
      <c r="E415" s="53"/>
      <c r="F415" s="53"/>
      <c r="G415" s="53"/>
      <c r="H415" s="53"/>
      <c r="I415" s="53"/>
      <c r="J415" s="53"/>
      <c r="K415" s="53"/>
    </row>
    <row r="416">
      <c r="B416" s="52"/>
      <c r="C416" s="53"/>
      <c r="D416" s="53"/>
      <c r="E416" s="53"/>
      <c r="F416" s="53"/>
      <c r="G416" s="53"/>
      <c r="H416" s="53"/>
      <c r="I416" s="53"/>
      <c r="J416" s="53"/>
      <c r="K416" s="53"/>
    </row>
    <row r="417">
      <c r="B417" s="52"/>
      <c r="C417" s="53"/>
      <c r="D417" s="53"/>
      <c r="E417" s="53"/>
      <c r="F417" s="53"/>
      <c r="G417" s="53"/>
      <c r="H417" s="53"/>
      <c r="I417" s="53"/>
      <c r="J417" s="53"/>
      <c r="K417" s="53"/>
    </row>
    <row r="418">
      <c r="B418" s="52"/>
      <c r="C418" s="53"/>
      <c r="D418" s="53"/>
      <c r="E418" s="53"/>
      <c r="F418" s="53"/>
      <c r="G418" s="53"/>
      <c r="H418" s="53"/>
      <c r="I418" s="53"/>
      <c r="J418" s="53"/>
      <c r="K418" s="53"/>
    </row>
    <row r="419">
      <c r="B419" s="52"/>
      <c r="C419" s="53"/>
      <c r="D419" s="53"/>
      <c r="E419" s="53"/>
      <c r="F419" s="53"/>
      <c r="G419" s="53"/>
      <c r="H419" s="53"/>
      <c r="I419" s="53"/>
      <c r="J419" s="53"/>
      <c r="K419" s="53"/>
    </row>
    <row r="420">
      <c r="B420" s="52"/>
      <c r="C420" s="53"/>
      <c r="D420" s="53"/>
      <c r="E420" s="53"/>
      <c r="F420" s="53"/>
      <c r="G420" s="53"/>
      <c r="H420" s="53"/>
      <c r="I420" s="53"/>
      <c r="J420" s="53"/>
      <c r="K420" s="53"/>
    </row>
    <row r="421">
      <c r="B421" s="52"/>
      <c r="C421" s="53"/>
      <c r="D421" s="53"/>
      <c r="E421" s="53"/>
      <c r="F421" s="53"/>
      <c r="G421" s="53"/>
      <c r="H421" s="53"/>
      <c r="I421" s="53"/>
      <c r="J421" s="53"/>
      <c r="K421" s="53"/>
    </row>
    <row r="422">
      <c r="B422" s="52"/>
      <c r="C422" s="53"/>
      <c r="D422" s="53"/>
      <c r="E422" s="53"/>
      <c r="F422" s="53"/>
      <c r="G422" s="53"/>
      <c r="H422" s="53"/>
      <c r="I422" s="53"/>
      <c r="J422" s="53"/>
      <c r="K422" s="53"/>
    </row>
    <row r="423">
      <c r="B423" s="52"/>
      <c r="C423" s="53"/>
      <c r="D423" s="53"/>
      <c r="E423" s="53"/>
      <c r="F423" s="53"/>
      <c r="G423" s="53"/>
      <c r="H423" s="53"/>
      <c r="I423" s="53"/>
      <c r="J423" s="53"/>
      <c r="K423" s="53"/>
    </row>
    <row r="424">
      <c r="B424" s="52"/>
      <c r="C424" s="53"/>
      <c r="D424" s="53"/>
      <c r="E424" s="53"/>
      <c r="F424" s="53"/>
      <c r="G424" s="53"/>
      <c r="H424" s="53"/>
      <c r="I424" s="53"/>
      <c r="J424" s="53"/>
      <c r="K424" s="53"/>
    </row>
    <row r="425">
      <c r="B425" s="52"/>
      <c r="C425" s="53"/>
      <c r="D425" s="53"/>
      <c r="E425" s="53"/>
      <c r="F425" s="53"/>
      <c r="G425" s="53"/>
      <c r="H425" s="53"/>
      <c r="I425" s="53"/>
      <c r="J425" s="53"/>
      <c r="K425" s="53"/>
    </row>
    <row r="426">
      <c r="B426" s="52"/>
      <c r="C426" s="53"/>
      <c r="D426" s="53"/>
      <c r="E426" s="53"/>
      <c r="F426" s="53"/>
      <c r="G426" s="53"/>
      <c r="H426" s="53"/>
      <c r="I426" s="53"/>
      <c r="J426" s="53"/>
      <c r="K426" s="53"/>
    </row>
    <row r="427">
      <c r="B427" s="52"/>
      <c r="C427" s="53"/>
      <c r="D427" s="53"/>
      <c r="E427" s="53"/>
      <c r="F427" s="53"/>
      <c r="G427" s="53"/>
      <c r="H427" s="53"/>
      <c r="I427" s="53"/>
      <c r="J427" s="53"/>
      <c r="K427" s="53"/>
    </row>
    <row r="428">
      <c r="B428" s="52"/>
      <c r="C428" s="53"/>
      <c r="D428" s="53"/>
      <c r="E428" s="53"/>
      <c r="F428" s="53"/>
      <c r="G428" s="53"/>
      <c r="H428" s="53"/>
      <c r="I428" s="53"/>
      <c r="J428" s="53"/>
      <c r="K428" s="53"/>
    </row>
    <row r="429">
      <c r="B429" s="52"/>
      <c r="C429" s="53"/>
      <c r="D429" s="53"/>
      <c r="E429" s="53"/>
      <c r="F429" s="53"/>
      <c r="G429" s="53"/>
      <c r="H429" s="53"/>
      <c r="I429" s="53"/>
      <c r="J429" s="53"/>
      <c r="K429" s="53"/>
    </row>
    <row r="430">
      <c r="B430" s="52"/>
      <c r="C430" s="53"/>
      <c r="D430" s="53"/>
      <c r="E430" s="53"/>
      <c r="F430" s="53"/>
      <c r="G430" s="53"/>
      <c r="H430" s="53"/>
      <c r="I430" s="53"/>
      <c r="J430" s="53"/>
      <c r="K430" s="53"/>
    </row>
    <row r="431">
      <c r="B431" s="52"/>
      <c r="C431" s="53"/>
      <c r="D431" s="53"/>
      <c r="E431" s="53"/>
      <c r="F431" s="53"/>
      <c r="G431" s="53"/>
      <c r="H431" s="53"/>
      <c r="I431" s="53"/>
      <c r="J431" s="53"/>
      <c r="K431" s="53"/>
    </row>
    <row r="432">
      <c r="B432" s="52"/>
      <c r="C432" s="53"/>
      <c r="D432" s="53"/>
      <c r="E432" s="53"/>
      <c r="F432" s="53"/>
      <c r="G432" s="53"/>
      <c r="H432" s="53"/>
      <c r="I432" s="53"/>
      <c r="J432" s="53"/>
      <c r="K432" s="53"/>
    </row>
    <row r="433">
      <c r="B433" s="52"/>
      <c r="C433" s="53"/>
      <c r="D433" s="53"/>
      <c r="E433" s="53"/>
      <c r="F433" s="53"/>
      <c r="G433" s="53"/>
      <c r="H433" s="53"/>
      <c r="I433" s="53"/>
      <c r="J433" s="53"/>
      <c r="K433" s="53"/>
    </row>
    <row r="434">
      <c r="B434" s="52"/>
      <c r="C434" s="53"/>
      <c r="D434" s="53"/>
      <c r="E434" s="53"/>
      <c r="F434" s="53"/>
      <c r="G434" s="53"/>
      <c r="H434" s="53"/>
      <c r="I434" s="53"/>
      <c r="J434" s="53"/>
      <c r="K434" s="53"/>
    </row>
    <row r="435">
      <c r="B435" s="52"/>
      <c r="C435" s="53"/>
      <c r="D435" s="53"/>
      <c r="E435" s="53"/>
      <c r="F435" s="53"/>
      <c r="G435" s="53"/>
      <c r="H435" s="53"/>
      <c r="I435" s="53"/>
      <c r="J435" s="53"/>
      <c r="K435" s="53"/>
    </row>
    <row r="436">
      <c r="B436" s="52"/>
      <c r="C436" s="53"/>
      <c r="D436" s="53"/>
      <c r="E436" s="53"/>
      <c r="F436" s="53"/>
      <c r="G436" s="53"/>
      <c r="H436" s="53"/>
      <c r="I436" s="53"/>
      <c r="J436" s="53"/>
      <c r="K436" s="53"/>
    </row>
    <row r="437">
      <c r="B437" s="52"/>
      <c r="C437" s="53"/>
      <c r="D437" s="53"/>
      <c r="E437" s="53"/>
      <c r="F437" s="53"/>
      <c r="G437" s="53"/>
      <c r="H437" s="53"/>
      <c r="I437" s="53"/>
      <c r="J437" s="53"/>
      <c r="K437" s="53"/>
    </row>
    <row r="438">
      <c r="B438" s="52"/>
      <c r="C438" s="53"/>
      <c r="D438" s="53"/>
      <c r="E438" s="53"/>
      <c r="F438" s="53"/>
      <c r="G438" s="53"/>
      <c r="H438" s="53"/>
      <c r="I438" s="53"/>
      <c r="J438" s="53"/>
      <c r="K438" s="53"/>
    </row>
    <row r="439">
      <c r="B439" s="52"/>
      <c r="C439" s="53"/>
      <c r="D439" s="53"/>
      <c r="E439" s="53"/>
      <c r="F439" s="53"/>
      <c r="G439" s="53"/>
      <c r="H439" s="53"/>
      <c r="I439" s="53"/>
      <c r="J439" s="53"/>
      <c r="K439" s="53"/>
    </row>
    <row r="440">
      <c r="B440" s="52"/>
      <c r="C440" s="53"/>
      <c r="D440" s="53"/>
      <c r="E440" s="53"/>
      <c r="F440" s="53"/>
      <c r="G440" s="53"/>
      <c r="H440" s="53"/>
      <c r="I440" s="53"/>
      <c r="J440" s="53"/>
      <c r="K440" s="53"/>
    </row>
    <row r="441">
      <c r="B441" s="52"/>
      <c r="C441" s="53"/>
      <c r="D441" s="53"/>
      <c r="E441" s="53"/>
      <c r="F441" s="53"/>
      <c r="G441" s="53"/>
      <c r="H441" s="53"/>
      <c r="I441" s="53"/>
      <c r="J441" s="53"/>
      <c r="K441" s="53"/>
    </row>
    <row r="442">
      <c r="B442" s="52"/>
      <c r="C442" s="53"/>
      <c r="D442" s="53"/>
      <c r="E442" s="53"/>
      <c r="F442" s="53"/>
      <c r="G442" s="53"/>
      <c r="H442" s="53"/>
      <c r="I442" s="53"/>
      <c r="J442" s="53"/>
      <c r="K442" s="53"/>
    </row>
    <row r="443">
      <c r="B443" s="52"/>
      <c r="C443" s="53"/>
      <c r="D443" s="53"/>
      <c r="E443" s="53"/>
      <c r="F443" s="53"/>
      <c r="G443" s="53"/>
      <c r="H443" s="53"/>
      <c r="I443" s="53"/>
      <c r="J443" s="53"/>
      <c r="K443" s="53"/>
    </row>
    <row r="444">
      <c r="B444" s="52"/>
      <c r="C444" s="53"/>
      <c r="D444" s="53"/>
      <c r="E444" s="53"/>
      <c r="F444" s="53"/>
      <c r="G444" s="53"/>
      <c r="H444" s="53"/>
      <c r="I444" s="53"/>
      <c r="J444" s="53"/>
      <c r="K444" s="53"/>
    </row>
    <row r="445">
      <c r="B445" s="52"/>
      <c r="C445" s="53"/>
      <c r="D445" s="53"/>
      <c r="E445" s="53"/>
      <c r="F445" s="53"/>
      <c r="G445" s="53"/>
      <c r="H445" s="53"/>
      <c r="I445" s="53"/>
      <c r="J445" s="53"/>
      <c r="K445" s="53"/>
    </row>
    <row r="446">
      <c r="B446" s="52"/>
      <c r="C446" s="53"/>
      <c r="D446" s="53"/>
      <c r="E446" s="53"/>
      <c r="F446" s="53"/>
      <c r="G446" s="53"/>
      <c r="H446" s="53"/>
      <c r="I446" s="53"/>
      <c r="J446" s="53"/>
      <c r="K446" s="53"/>
    </row>
    <row r="447">
      <c r="B447" s="52"/>
      <c r="C447" s="53"/>
      <c r="D447" s="53"/>
      <c r="E447" s="53"/>
      <c r="F447" s="53"/>
      <c r="G447" s="53"/>
      <c r="H447" s="53"/>
      <c r="I447" s="53"/>
      <c r="J447" s="53"/>
      <c r="K447" s="53"/>
    </row>
    <row r="448">
      <c r="B448" s="52"/>
      <c r="C448" s="53"/>
      <c r="D448" s="53"/>
      <c r="E448" s="53"/>
      <c r="F448" s="53"/>
      <c r="G448" s="53"/>
      <c r="H448" s="53"/>
      <c r="I448" s="53"/>
      <c r="J448" s="53"/>
      <c r="K448" s="53"/>
    </row>
    <row r="449">
      <c r="B449" s="52"/>
      <c r="C449" s="53"/>
      <c r="D449" s="53"/>
      <c r="E449" s="53"/>
      <c r="F449" s="53"/>
      <c r="G449" s="53"/>
      <c r="H449" s="53"/>
      <c r="I449" s="53"/>
      <c r="J449" s="53"/>
      <c r="K449" s="53"/>
    </row>
    <row r="450">
      <c r="B450" s="52"/>
      <c r="C450" s="53"/>
      <c r="D450" s="53"/>
      <c r="E450" s="53"/>
      <c r="F450" s="53"/>
      <c r="G450" s="53"/>
      <c r="H450" s="53"/>
      <c r="I450" s="53"/>
      <c r="J450" s="53"/>
      <c r="K450" s="53"/>
    </row>
    <row r="451">
      <c r="B451" s="52"/>
      <c r="C451" s="53"/>
      <c r="D451" s="53"/>
      <c r="E451" s="53"/>
      <c r="F451" s="53"/>
      <c r="G451" s="53"/>
      <c r="H451" s="53"/>
      <c r="I451" s="53"/>
      <c r="J451" s="53"/>
      <c r="K451" s="53"/>
    </row>
    <row r="452">
      <c r="B452" s="52"/>
      <c r="C452" s="53"/>
      <c r="D452" s="53"/>
      <c r="E452" s="53"/>
      <c r="F452" s="53"/>
      <c r="G452" s="53"/>
      <c r="H452" s="53"/>
      <c r="I452" s="53"/>
      <c r="J452" s="53"/>
      <c r="K452" s="53"/>
    </row>
    <row r="453">
      <c r="B453" s="52"/>
      <c r="C453" s="53"/>
      <c r="D453" s="53"/>
      <c r="E453" s="53"/>
      <c r="F453" s="53"/>
      <c r="G453" s="53"/>
      <c r="H453" s="53"/>
      <c r="I453" s="53"/>
      <c r="J453" s="53"/>
      <c r="K453" s="53"/>
    </row>
    <row r="454">
      <c r="B454" s="52"/>
      <c r="C454" s="53"/>
      <c r="D454" s="53"/>
      <c r="E454" s="53"/>
      <c r="F454" s="53"/>
      <c r="G454" s="53"/>
      <c r="H454" s="53"/>
      <c r="I454" s="53"/>
      <c r="J454" s="53"/>
      <c r="K454" s="53"/>
    </row>
    <row r="455">
      <c r="B455" s="52"/>
      <c r="C455" s="53"/>
      <c r="D455" s="53"/>
      <c r="E455" s="53"/>
      <c r="F455" s="53"/>
      <c r="G455" s="53"/>
      <c r="H455" s="53"/>
      <c r="I455" s="53"/>
      <c r="J455" s="53"/>
      <c r="K455" s="53"/>
    </row>
    <row r="456">
      <c r="B456" s="52"/>
      <c r="C456" s="53"/>
      <c r="D456" s="53"/>
      <c r="E456" s="53"/>
      <c r="F456" s="53"/>
      <c r="G456" s="53"/>
      <c r="H456" s="53"/>
      <c r="I456" s="53"/>
      <c r="J456" s="53"/>
      <c r="K456" s="53"/>
    </row>
    <row r="457">
      <c r="B457" s="52"/>
      <c r="C457" s="53"/>
      <c r="D457" s="53"/>
      <c r="E457" s="53"/>
      <c r="F457" s="53"/>
      <c r="G457" s="53"/>
      <c r="H457" s="53"/>
      <c r="I457" s="53"/>
      <c r="J457" s="53"/>
      <c r="K457" s="53"/>
    </row>
    <row r="458">
      <c r="B458" s="52"/>
      <c r="C458" s="53"/>
      <c r="D458" s="53"/>
      <c r="E458" s="53"/>
      <c r="F458" s="53"/>
      <c r="G458" s="53"/>
      <c r="H458" s="53"/>
      <c r="I458" s="53"/>
      <c r="J458" s="53"/>
      <c r="K458" s="53"/>
    </row>
    <row r="459">
      <c r="B459" s="52"/>
      <c r="C459" s="53"/>
      <c r="D459" s="53"/>
      <c r="E459" s="53"/>
      <c r="F459" s="53"/>
      <c r="G459" s="53"/>
      <c r="H459" s="53"/>
      <c r="I459" s="53"/>
      <c r="J459" s="53"/>
      <c r="K459" s="53"/>
    </row>
    <row r="460">
      <c r="B460" s="52"/>
      <c r="C460" s="53"/>
      <c r="D460" s="53"/>
      <c r="E460" s="53"/>
      <c r="F460" s="53"/>
      <c r="G460" s="53"/>
      <c r="H460" s="53"/>
      <c r="I460" s="53"/>
      <c r="J460" s="53"/>
      <c r="K460" s="53"/>
    </row>
    <row r="461">
      <c r="B461" s="52"/>
      <c r="C461" s="53"/>
      <c r="D461" s="53"/>
      <c r="E461" s="53"/>
      <c r="F461" s="53"/>
      <c r="G461" s="53"/>
      <c r="H461" s="53"/>
      <c r="I461" s="53"/>
      <c r="J461" s="53"/>
      <c r="K461" s="53"/>
    </row>
    <row r="462">
      <c r="B462" s="52"/>
      <c r="C462" s="53"/>
      <c r="D462" s="53"/>
      <c r="E462" s="53"/>
      <c r="F462" s="53"/>
      <c r="G462" s="53"/>
      <c r="H462" s="53"/>
      <c r="I462" s="53"/>
      <c r="J462" s="53"/>
      <c r="K462" s="53"/>
    </row>
    <row r="463">
      <c r="B463" s="52"/>
      <c r="C463" s="53"/>
      <c r="D463" s="53"/>
      <c r="E463" s="53"/>
      <c r="F463" s="53"/>
      <c r="G463" s="53"/>
      <c r="H463" s="53"/>
      <c r="I463" s="53"/>
      <c r="J463" s="53"/>
      <c r="K463" s="53"/>
    </row>
    <row r="464">
      <c r="B464" s="52"/>
      <c r="C464" s="53"/>
      <c r="D464" s="53"/>
      <c r="E464" s="53"/>
      <c r="F464" s="53"/>
      <c r="G464" s="53"/>
      <c r="H464" s="53"/>
      <c r="I464" s="53"/>
      <c r="J464" s="53"/>
      <c r="K464" s="53"/>
    </row>
    <row r="465">
      <c r="B465" s="52"/>
      <c r="C465" s="53"/>
      <c r="D465" s="53"/>
      <c r="E465" s="53"/>
      <c r="F465" s="53"/>
      <c r="G465" s="53"/>
      <c r="H465" s="53"/>
      <c r="I465" s="53"/>
      <c r="J465" s="53"/>
      <c r="K465" s="53"/>
    </row>
    <row r="466">
      <c r="B466" s="52"/>
      <c r="C466" s="53"/>
      <c r="D466" s="53"/>
      <c r="E466" s="53"/>
      <c r="F466" s="53"/>
      <c r="G466" s="53"/>
      <c r="H466" s="53"/>
      <c r="I466" s="53"/>
      <c r="J466" s="53"/>
      <c r="K466" s="53"/>
    </row>
    <row r="467">
      <c r="B467" s="52"/>
      <c r="C467" s="53"/>
      <c r="D467" s="53"/>
      <c r="E467" s="53"/>
      <c r="F467" s="53"/>
      <c r="G467" s="53"/>
      <c r="H467" s="53"/>
      <c r="I467" s="53"/>
      <c r="J467" s="53"/>
      <c r="K467" s="53"/>
    </row>
    <row r="468">
      <c r="B468" s="52"/>
      <c r="C468" s="53"/>
      <c r="D468" s="53"/>
      <c r="E468" s="53"/>
      <c r="F468" s="53"/>
      <c r="G468" s="53"/>
      <c r="H468" s="53"/>
      <c r="I468" s="53"/>
      <c r="J468" s="53"/>
      <c r="K468" s="53"/>
    </row>
    <row r="469">
      <c r="B469" s="52"/>
      <c r="C469" s="53"/>
      <c r="D469" s="53"/>
      <c r="E469" s="53"/>
      <c r="F469" s="53"/>
      <c r="G469" s="53"/>
      <c r="H469" s="53"/>
      <c r="I469" s="53"/>
      <c r="J469" s="53"/>
      <c r="K469" s="53"/>
    </row>
    <row r="470">
      <c r="B470" s="52"/>
      <c r="C470" s="53"/>
      <c r="D470" s="53"/>
      <c r="E470" s="53"/>
      <c r="F470" s="53"/>
      <c r="G470" s="53"/>
      <c r="H470" s="53"/>
      <c r="I470" s="53"/>
      <c r="J470" s="53"/>
      <c r="K470" s="53"/>
    </row>
    <row r="471">
      <c r="B471" s="52"/>
      <c r="C471" s="53"/>
      <c r="D471" s="53"/>
      <c r="E471" s="53"/>
      <c r="F471" s="53"/>
      <c r="G471" s="53"/>
      <c r="H471" s="53"/>
      <c r="I471" s="53"/>
      <c r="J471" s="53"/>
      <c r="K471" s="53"/>
    </row>
    <row r="472">
      <c r="B472" s="52"/>
      <c r="C472" s="53"/>
      <c r="D472" s="53"/>
      <c r="E472" s="53"/>
      <c r="F472" s="53"/>
      <c r="G472" s="53"/>
      <c r="H472" s="53"/>
      <c r="I472" s="53"/>
      <c r="J472" s="53"/>
      <c r="K472" s="53"/>
    </row>
    <row r="473">
      <c r="B473" s="52"/>
      <c r="C473" s="53"/>
      <c r="D473" s="53"/>
      <c r="E473" s="53"/>
      <c r="F473" s="53"/>
      <c r="G473" s="53"/>
      <c r="H473" s="53"/>
      <c r="I473" s="53"/>
      <c r="J473" s="53"/>
      <c r="K473" s="53"/>
    </row>
    <row r="474">
      <c r="B474" s="52"/>
      <c r="C474" s="53"/>
      <c r="D474" s="53"/>
      <c r="E474" s="53"/>
      <c r="F474" s="53"/>
      <c r="G474" s="53"/>
      <c r="H474" s="53"/>
      <c r="I474" s="53"/>
      <c r="J474" s="53"/>
      <c r="K474" s="53"/>
    </row>
    <row r="475">
      <c r="B475" s="52"/>
      <c r="C475" s="53"/>
      <c r="D475" s="53"/>
      <c r="E475" s="53"/>
      <c r="F475" s="53"/>
      <c r="G475" s="53"/>
      <c r="H475" s="53"/>
      <c r="I475" s="53"/>
      <c r="J475" s="53"/>
      <c r="K475" s="53"/>
    </row>
    <row r="476">
      <c r="B476" s="52"/>
      <c r="C476" s="53"/>
      <c r="D476" s="53"/>
      <c r="E476" s="53"/>
      <c r="F476" s="53"/>
      <c r="G476" s="53"/>
      <c r="H476" s="53"/>
      <c r="I476" s="53"/>
      <c r="J476" s="53"/>
      <c r="K476" s="53"/>
    </row>
    <row r="477">
      <c r="B477" s="52"/>
      <c r="C477" s="53"/>
      <c r="D477" s="53"/>
      <c r="E477" s="53"/>
      <c r="F477" s="53"/>
      <c r="G477" s="53"/>
      <c r="H477" s="53"/>
      <c r="I477" s="53"/>
      <c r="J477" s="53"/>
      <c r="K477" s="53"/>
    </row>
    <row r="478">
      <c r="B478" s="52"/>
      <c r="C478" s="53"/>
      <c r="D478" s="53"/>
      <c r="E478" s="53"/>
      <c r="F478" s="53"/>
      <c r="G478" s="53"/>
      <c r="H478" s="53"/>
      <c r="I478" s="53"/>
      <c r="J478" s="53"/>
      <c r="K478" s="53"/>
    </row>
    <row r="479">
      <c r="B479" s="52"/>
      <c r="C479" s="53"/>
      <c r="D479" s="53"/>
      <c r="E479" s="53"/>
      <c r="F479" s="53"/>
      <c r="G479" s="53"/>
      <c r="H479" s="53"/>
      <c r="I479" s="53"/>
      <c r="J479" s="53"/>
      <c r="K479" s="53"/>
    </row>
    <row r="480">
      <c r="B480" s="52"/>
      <c r="C480" s="53"/>
      <c r="D480" s="53"/>
      <c r="E480" s="53"/>
      <c r="F480" s="53"/>
      <c r="G480" s="53"/>
      <c r="H480" s="53"/>
      <c r="I480" s="53"/>
      <c r="J480" s="53"/>
      <c r="K480" s="53"/>
    </row>
    <row r="481">
      <c r="B481" s="52"/>
      <c r="C481" s="53"/>
      <c r="D481" s="53"/>
      <c r="E481" s="53"/>
      <c r="F481" s="53"/>
      <c r="G481" s="53"/>
      <c r="H481" s="53"/>
      <c r="I481" s="53"/>
      <c r="J481" s="53"/>
      <c r="K481" s="53"/>
    </row>
    <row r="482">
      <c r="B482" s="52"/>
      <c r="C482" s="53"/>
      <c r="D482" s="53"/>
      <c r="E482" s="53"/>
      <c r="F482" s="53"/>
      <c r="G482" s="53"/>
      <c r="H482" s="53"/>
      <c r="I482" s="53"/>
      <c r="J482" s="53"/>
      <c r="K482" s="53"/>
    </row>
    <row r="483">
      <c r="B483" s="52"/>
      <c r="C483" s="53"/>
      <c r="D483" s="53"/>
      <c r="E483" s="53"/>
      <c r="F483" s="53"/>
      <c r="G483" s="53"/>
      <c r="H483" s="53"/>
      <c r="I483" s="53"/>
      <c r="J483" s="53"/>
      <c r="K483" s="53"/>
    </row>
    <row r="484">
      <c r="B484" s="52"/>
      <c r="C484" s="53"/>
      <c r="D484" s="53"/>
      <c r="E484" s="53"/>
      <c r="F484" s="53"/>
      <c r="G484" s="53"/>
      <c r="H484" s="53"/>
      <c r="I484" s="53"/>
      <c r="J484" s="53"/>
      <c r="K484" s="53"/>
    </row>
    <row r="485">
      <c r="B485" s="52"/>
      <c r="C485" s="53"/>
      <c r="D485" s="53"/>
      <c r="E485" s="53"/>
      <c r="F485" s="53"/>
      <c r="G485" s="53"/>
      <c r="H485" s="53"/>
      <c r="I485" s="53"/>
      <c r="J485" s="53"/>
      <c r="K485" s="53"/>
    </row>
    <row r="486">
      <c r="B486" s="52"/>
      <c r="C486" s="53"/>
      <c r="D486" s="53"/>
      <c r="E486" s="53"/>
      <c r="F486" s="53"/>
      <c r="G486" s="53"/>
      <c r="H486" s="53"/>
      <c r="I486" s="53"/>
      <c r="J486" s="53"/>
      <c r="K486" s="53"/>
    </row>
    <row r="487">
      <c r="B487" s="52"/>
      <c r="C487" s="53"/>
      <c r="D487" s="53"/>
      <c r="E487" s="53"/>
      <c r="F487" s="53"/>
      <c r="G487" s="53"/>
      <c r="H487" s="53"/>
      <c r="I487" s="53"/>
      <c r="J487" s="53"/>
      <c r="K487" s="53"/>
    </row>
    <row r="488">
      <c r="B488" s="52"/>
      <c r="C488" s="53"/>
      <c r="D488" s="53"/>
      <c r="E488" s="53"/>
      <c r="F488" s="53"/>
      <c r="G488" s="53"/>
      <c r="H488" s="53"/>
      <c r="I488" s="53"/>
      <c r="J488" s="53"/>
      <c r="K488" s="53"/>
    </row>
    <row r="489">
      <c r="B489" s="52"/>
      <c r="C489" s="53"/>
      <c r="D489" s="53"/>
      <c r="E489" s="53"/>
      <c r="F489" s="53"/>
      <c r="G489" s="53"/>
      <c r="H489" s="53"/>
      <c r="I489" s="53"/>
      <c r="J489" s="53"/>
      <c r="K489" s="53"/>
    </row>
    <row r="490">
      <c r="B490" s="52"/>
      <c r="C490" s="53"/>
      <c r="D490" s="53"/>
      <c r="E490" s="53"/>
      <c r="F490" s="53"/>
      <c r="G490" s="53"/>
      <c r="H490" s="53"/>
      <c r="I490" s="53"/>
      <c r="J490" s="53"/>
      <c r="K490" s="53"/>
    </row>
    <row r="491">
      <c r="B491" s="52"/>
      <c r="C491" s="53"/>
      <c r="D491" s="53"/>
      <c r="E491" s="53"/>
      <c r="F491" s="53"/>
      <c r="G491" s="53"/>
      <c r="H491" s="53"/>
      <c r="I491" s="53"/>
      <c r="J491" s="53"/>
      <c r="K491" s="53"/>
    </row>
    <row r="492">
      <c r="B492" s="52"/>
      <c r="C492" s="53"/>
      <c r="D492" s="53"/>
      <c r="E492" s="53"/>
      <c r="F492" s="53"/>
      <c r="G492" s="53"/>
      <c r="H492" s="53"/>
      <c r="I492" s="53"/>
      <c r="J492" s="53"/>
      <c r="K492" s="53"/>
    </row>
    <row r="493">
      <c r="B493" s="52"/>
      <c r="C493" s="53"/>
      <c r="D493" s="53"/>
      <c r="E493" s="53"/>
      <c r="F493" s="53"/>
      <c r="G493" s="53"/>
      <c r="H493" s="53"/>
      <c r="I493" s="53"/>
      <c r="J493" s="53"/>
      <c r="K493" s="53"/>
    </row>
    <row r="494">
      <c r="B494" s="52"/>
      <c r="C494" s="53"/>
      <c r="D494" s="53"/>
      <c r="E494" s="53"/>
      <c r="F494" s="53"/>
      <c r="G494" s="53"/>
      <c r="H494" s="53"/>
      <c r="I494" s="53"/>
      <c r="J494" s="53"/>
      <c r="K494" s="53"/>
    </row>
    <row r="495">
      <c r="B495" s="52"/>
      <c r="C495" s="53"/>
      <c r="D495" s="53"/>
      <c r="E495" s="53"/>
      <c r="F495" s="53"/>
      <c r="G495" s="53"/>
      <c r="H495" s="53"/>
      <c r="I495" s="53"/>
      <c r="J495" s="53"/>
      <c r="K495" s="53"/>
    </row>
    <row r="496">
      <c r="B496" s="52"/>
      <c r="C496" s="53"/>
      <c r="D496" s="53"/>
      <c r="E496" s="53"/>
      <c r="F496" s="53"/>
      <c r="G496" s="53"/>
      <c r="H496" s="53"/>
      <c r="I496" s="53"/>
      <c r="J496" s="53"/>
      <c r="K496" s="53"/>
    </row>
    <row r="497">
      <c r="B497" s="52"/>
      <c r="C497" s="53"/>
      <c r="D497" s="53"/>
      <c r="E497" s="53"/>
      <c r="F497" s="53"/>
      <c r="G497" s="53"/>
      <c r="H497" s="53"/>
      <c r="I497" s="53"/>
      <c r="J497" s="53"/>
      <c r="K497" s="53"/>
    </row>
    <row r="498">
      <c r="B498" s="52"/>
      <c r="C498" s="53"/>
      <c r="D498" s="53"/>
      <c r="E498" s="53"/>
      <c r="F498" s="53"/>
      <c r="G498" s="53"/>
      <c r="H498" s="53"/>
      <c r="I498" s="53"/>
      <c r="J498" s="53"/>
      <c r="K498" s="53"/>
    </row>
    <row r="499">
      <c r="B499" s="52"/>
      <c r="C499" s="53"/>
      <c r="D499" s="53"/>
      <c r="E499" s="53"/>
      <c r="F499" s="53"/>
      <c r="G499" s="53"/>
      <c r="H499" s="53"/>
      <c r="I499" s="53"/>
      <c r="J499" s="53"/>
      <c r="K499" s="53"/>
    </row>
    <row r="500">
      <c r="B500" s="52"/>
      <c r="C500" s="53"/>
      <c r="D500" s="53"/>
      <c r="E500" s="53"/>
      <c r="F500" s="53"/>
      <c r="G500" s="53"/>
      <c r="H500" s="53"/>
      <c r="I500" s="53"/>
      <c r="J500" s="53"/>
      <c r="K500" s="53"/>
    </row>
    <row r="501">
      <c r="B501" s="52"/>
      <c r="C501" s="53"/>
      <c r="D501" s="53"/>
      <c r="E501" s="53"/>
      <c r="F501" s="53"/>
      <c r="G501" s="53"/>
      <c r="H501" s="53"/>
      <c r="I501" s="53"/>
      <c r="J501" s="53"/>
      <c r="K501" s="53"/>
    </row>
    <row r="502">
      <c r="B502" s="52"/>
      <c r="C502" s="53"/>
      <c r="D502" s="53"/>
      <c r="E502" s="53"/>
      <c r="F502" s="53"/>
      <c r="G502" s="53"/>
      <c r="H502" s="53"/>
      <c r="I502" s="53"/>
      <c r="J502" s="53"/>
      <c r="K502" s="53"/>
    </row>
    <row r="503">
      <c r="B503" s="52"/>
      <c r="C503" s="53"/>
      <c r="D503" s="53"/>
      <c r="E503" s="53"/>
      <c r="F503" s="53"/>
      <c r="G503" s="53"/>
      <c r="H503" s="53"/>
      <c r="I503" s="53"/>
      <c r="J503" s="53"/>
      <c r="K503" s="53"/>
    </row>
    <row r="504">
      <c r="B504" s="52"/>
      <c r="C504" s="53"/>
      <c r="D504" s="53"/>
      <c r="E504" s="53"/>
      <c r="F504" s="53"/>
      <c r="G504" s="53"/>
      <c r="H504" s="53"/>
      <c r="I504" s="53"/>
      <c r="J504" s="53"/>
      <c r="K504" s="53"/>
    </row>
    <row r="505">
      <c r="B505" s="52"/>
      <c r="C505" s="53"/>
      <c r="D505" s="53"/>
      <c r="E505" s="53"/>
      <c r="F505" s="53"/>
      <c r="G505" s="53"/>
      <c r="H505" s="53"/>
      <c r="I505" s="53"/>
      <c r="J505" s="53"/>
      <c r="K505" s="53"/>
    </row>
    <row r="506">
      <c r="B506" s="52"/>
      <c r="C506" s="53"/>
      <c r="D506" s="53"/>
      <c r="E506" s="53"/>
      <c r="F506" s="53"/>
      <c r="G506" s="53"/>
      <c r="H506" s="53"/>
      <c r="I506" s="53"/>
      <c r="J506" s="53"/>
      <c r="K506" s="53"/>
    </row>
    <row r="507">
      <c r="B507" s="52"/>
      <c r="C507" s="53"/>
      <c r="D507" s="53"/>
      <c r="E507" s="53"/>
      <c r="F507" s="53"/>
      <c r="G507" s="53"/>
      <c r="H507" s="53"/>
      <c r="I507" s="53"/>
      <c r="J507" s="53"/>
      <c r="K507" s="53"/>
    </row>
    <row r="508">
      <c r="B508" s="52"/>
      <c r="C508" s="53"/>
      <c r="D508" s="53"/>
      <c r="E508" s="53"/>
      <c r="F508" s="53"/>
      <c r="G508" s="53"/>
      <c r="H508" s="53"/>
      <c r="I508" s="53"/>
      <c r="J508" s="53"/>
      <c r="K508" s="53"/>
    </row>
    <row r="509">
      <c r="B509" s="52"/>
      <c r="C509" s="53"/>
      <c r="D509" s="53"/>
      <c r="E509" s="53"/>
      <c r="F509" s="53"/>
      <c r="G509" s="53"/>
      <c r="H509" s="53"/>
      <c r="I509" s="53"/>
      <c r="J509" s="53"/>
      <c r="K509" s="53"/>
    </row>
    <row r="510">
      <c r="B510" s="52"/>
      <c r="C510" s="53"/>
      <c r="D510" s="53"/>
      <c r="E510" s="53"/>
      <c r="F510" s="53"/>
      <c r="G510" s="53"/>
      <c r="H510" s="53"/>
      <c r="I510" s="53"/>
      <c r="J510" s="53"/>
      <c r="K510" s="53"/>
    </row>
    <row r="511">
      <c r="B511" s="52"/>
      <c r="C511" s="53"/>
      <c r="D511" s="53"/>
      <c r="E511" s="53"/>
      <c r="F511" s="53"/>
      <c r="G511" s="53"/>
      <c r="H511" s="53"/>
      <c r="I511" s="53"/>
      <c r="J511" s="53"/>
      <c r="K511" s="53"/>
    </row>
    <row r="512">
      <c r="B512" s="52"/>
      <c r="C512" s="53"/>
      <c r="D512" s="53"/>
      <c r="E512" s="53"/>
      <c r="F512" s="53"/>
      <c r="G512" s="53"/>
      <c r="H512" s="53"/>
      <c r="I512" s="53"/>
      <c r="J512" s="53"/>
      <c r="K512" s="53"/>
    </row>
    <row r="513">
      <c r="B513" s="52"/>
      <c r="C513" s="53"/>
      <c r="D513" s="53"/>
      <c r="E513" s="53"/>
      <c r="F513" s="53"/>
      <c r="G513" s="53"/>
      <c r="H513" s="53"/>
      <c r="I513" s="53"/>
      <c r="J513" s="53"/>
      <c r="K513" s="53"/>
    </row>
    <row r="514">
      <c r="B514" s="52"/>
      <c r="C514" s="53"/>
      <c r="D514" s="53"/>
      <c r="E514" s="53"/>
      <c r="F514" s="53"/>
      <c r="G514" s="53"/>
      <c r="H514" s="53"/>
      <c r="I514" s="53"/>
      <c r="J514" s="53"/>
      <c r="K514" s="53"/>
    </row>
    <row r="515">
      <c r="B515" s="52"/>
      <c r="C515" s="53"/>
      <c r="D515" s="53"/>
      <c r="E515" s="53"/>
      <c r="F515" s="53"/>
      <c r="G515" s="53"/>
      <c r="H515" s="53"/>
      <c r="I515" s="53"/>
      <c r="J515" s="53"/>
      <c r="K515" s="53"/>
    </row>
    <row r="516">
      <c r="B516" s="52"/>
      <c r="C516" s="53"/>
      <c r="D516" s="53"/>
      <c r="E516" s="53"/>
      <c r="F516" s="53"/>
      <c r="G516" s="53"/>
      <c r="H516" s="53"/>
      <c r="I516" s="53"/>
      <c r="J516" s="53"/>
      <c r="K516" s="53"/>
    </row>
    <row r="517">
      <c r="B517" s="52"/>
      <c r="C517" s="53"/>
      <c r="D517" s="53"/>
      <c r="E517" s="53"/>
      <c r="F517" s="53"/>
      <c r="G517" s="53"/>
      <c r="H517" s="53"/>
      <c r="I517" s="53"/>
      <c r="J517" s="53"/>
      <c r="K517" s="53"/>
    </row>
    <row r="518">
      <c r="B518" s="52"/>
      <c r="C518" s="53"/>
      <c r="D518" s="53"/>
      <c r="E518" s="53"/>
      <c r="F518" s="53"/>
      <c r="G518" s="53"/>
      <c r="H518" s="53"/>
      <c r="I518" s="53"/>
      <c r="J518" s="53"/>
      <c r="K518" s="53"/>
    </row>
    <row r="519">
      <c r="B519" s="52"/>
      <c r="C519" s="53"/>
      <c r="D519" s="53"/>
      <c r="E519" s="53"/>
      <c r="F519" s="53"/>
      <c r="G519" s="53"/>
      <c r="H519" s="53"/>
      <c r="I519" s="53"/>
      <c r="J519" s="53"/>
      <c r="K519" s="53"/>
    </row>
    <row r="520">
      <c r="B520" s="52"/>
      <c r="C520" s="53"/>
      <c r="D520" s="53"/>
      <c r="E520" s="53"/>
      <c r="F520" s="53"/>
      <c r="G520" s="53"/>
      <c r="H520" s="53"/>
      <c r="I520" s="53"/>
      <c r="J520" s="53"/>
      <c r="K520" s="53"/>
    </row>
    <row r="521">
      <c r="B521" s="52"/>
      <c r="C521" s="53"/>
      <c r="D521" s="53"/>
      <c r="E521" s="53"/>
      <c r="F521" s="53"/>
      <c r="G521" s="53"/>
      <c r="H521" s="53"/>
      <c r="I521" s="53"/>
      <c r="J521" s="53"/>
      <c r="K521" s="53"/>
    </row>
    <row r="522">
      <c r="B522" s="52"/>
      <c r="C522" s="53"/>
      <c r="D522" s="53"/>
      <c r="E522" s="53"/>
      <c r="F522" s="53"/>
      <c r="G522" s="53"/>
      <c r="H522" s="53"/>
      <c r="I522" s="53"/>
      <c r="J522" s="53"/>
      <c r="K522" s="53"/>
    </row>
    <row r="523">
      <c r="B523" s="52"/>
      <c r="C523" s="53"/>
      <c r="D523" s="53"/>
      <c r="E523" s="53"/>
      <c r="F523" s="53"/>
      <c r="G523" s="53"/>
      <c r="H523" s="53"/>
      <c r="I523" s="53"/>
      <c r="J523" s="53"/>
      <c r="K523" s="53"/>
    </row>
    <row r="524">
      <c r="B524" s="52"/>
      <c r="C524" s="53"/>
      <c r="D524" s="53"/>
      <c r="E524" s="53"/>
      <c r="F524" s="53"/>
      <c r="G524" s="53"/>
      <c r="H524" s="53"/>
      <c r="I524" s="53"/>
      <c r="J524" s="53"/>
      <c r="K524" s="53"/>
    </row>
    <row r="525">
      <c r="B525" s="52"/>
      <c r="C525" s="53"/>
      <c r="D525" s="53"/>
      <c r="E525" s="53"/>
      <c r="F525" s="53"/>
      <c r="G525" s="53"/>
      <c r="H525" s="53"/>
      <c r="I525" s="53"/>
      <c r="J525" s="53"/>
      <c r="K525" s="53"/>
    </row>
    <row r="526">
      <c r="B526" s="52"/>
      <c r="C526" s="53"/>
      <c r="D526" s="53"/>
      <c r="E526" s="53"/>
      <c r="F526" s="53"/>
      <c r="G526" s="53"/>
      <c r="H526" s="53"/>
      <c r="I526" s="53"/>
      <c r="J526" s="53"/>
      <c r="K526" s="53"/>
    </row>
    <row r="527">
      <c r="B527" s="52"/>
      <c r="C527" s="53"/>
      <c r="D527" s="53"/>
      <c r="E527" s="53"/>
      <c r="F527" s="53"/>
      <c r="G527" s="53"/>
      <c r="H527" s="53"/>
      <c r="I527" s="53"/>
      <c r="J527" s="53"/>
      <c r="K527" s="53"/>
    </row>
    <row r="528">
      <c r="B528" s="52"/>
      <c r="C528" s="53"/>
      <c r="D528" s="53"/>
      <c r="E528" s="53"/>
      <c r="F528" s="53"/>
      <c r="G528" s="53"/>
      <c r="H528" s="53"/>
      <c r="I528" s="53"/>
      <c r="J528" s="53"/>
      <c r="K528" s="53"/>
    </row>
    <row r="529">
      <c r="B529" s="52"/>
      <c r="C529" s="53"/>
      <c r="D529" s="53"/>
      <c r="E529" s="53"/>
      <c r="F529" s="53"/>
      <c r="G529" s="53"/>
      <c r="H529" s="53"/>
      <c r="I529" s="53"/>
      <c r="J529" s="53"/>
      <c r="K529" s="53"/>
    </row>
    <row r="530">
      <c r="B530" s="52"/>
      <c r="C530" s="53"/>
      <c r="D530" s="53"/>
      <c r="E530" s="53"/>
      <c r="F530" s="53"/>
      <c r="G530" s="53"/>
      <c r="H530" s="53"/>
      <c r="I530" s="53"/>
      <c r="J530" s="53"/>
      <c r="K530" s="53"/>
    </row>
    <row r="531">
      <c r="B531" s="52"/>
      <c r="C531" s="53"/>
      <c r="D531" s="53"/>
      <c r="E531" s="53"/>
      <c r="F531" s="53"/>
      <c r="G531" s="53"/>
      <c r="H531" s="53"/>
      <c r="I531" s="53"/>
      <c r="J531" s="53"/>
      <c r="K531" s="53"/>
    </row>
    <row r="532">
      <c r="B532" s="52"/>
      <c r="C532" s="53"/>
      <c r="D532" s="53"/>
      <c r="E532" s="53"/>
      <c r="F532" s="53"/>
      <c r="G532" s="53"/>
      <c r="H532" s="53"/>
      <c r="I532" s="53"/>
      <c r="J532" s="53"/>
      <c r="K532" s="53"/>
    </row>
    <row r="533">
      <c r="B533" s="52"/>
      <c r="C533" s="53"/>
      <c r="D533" s="53"/>
      <c r="E533" s="53"/>
      <c r="F533" s="53"/>
      <c r="G533" s="53"/>
      <c r="H533" s="53"/>
      <c r="I533" s="53"/>
      <c r="J533" s="53"/>
      <c r="K533" s="53"/>
    </row>
    <row r="534">
      <c r="B534" s="52"/>
      <c r="C534" s="53"/>
      <c r="D534" s="53"/>
      <c r="E534" s="53"/>
      <c r="F534" s="53"/>
      <c r="G534" s="53"/>
      <c r="H534" s="53"/>
      <c r="I534" s="53"/>
      <c r="J534" s="53"/>
      <c r="K534" s="53"/>
    </row>
    <row r="535">
      <c r="B535" s="52"/>
      <c r="C535" s="53"/>
      <c r="D535" s="53"/>
      <c r="E535" s="53"/>
      <c r="F535" s="53"/>
      <c r="G535" s="53"/>
      <c r="H535" s="53"/>
      <c r="I535" s="53"/>
      <c r="J535" s="53"/>
      <c r="K535" s="53"/>
    </row>
    <row r="536">
      <c r="B536" s="52"/>
      <c r="C536" s="53"/>
      <c r="D536" s="53"/>
      <c r="E536" s="53"/>
      <c r="F536" s="53"/>
      <c r="G536" s="53"/>
      <c r="H536" s="53"/>
      <c r="I536" s="53"/>
      <c r="J536" s="53"/>
      <c r="K536" s="53"/>
    </row>
    <row r="537">
      <c r="B537" s="52"/>
      <c r="C537" s="53"/>
      <c r="D537" s="53"/>
      <c r="E537" s="53"/>
      <c r="F537" s="53"/>
      <c r="G537" s="53"/>
      <c r="H537" s="53"/>
      <c r="I537" s="53"/>
      <c r="J537" s="53"/>
      <c r="K537" s="53"/>
    </row>
    <row r="538">
      <c r="B538" s="52"/>
      <c r="C538" s="53"/>
      <c r="D538" s="53"/>
      <c r="E538" s="53"/>
      <c r="F538" s="53"/>
      <c r="G538" s="53"/>
      <c r="H538" s="53"/>
      <c r="I538" s="53"/>
      <c r="J538" s="53"/>
      <c r="K538" s="53"/>
    </row>
    <row r="539">
      <c r="B539" s="52"/>
      <c r="C539" s="53"/>
      <c r="D539" s="53"/>
      <c r="E539" s="53"/>
      <c r="F539" s="53"/>
      <c r="G539" s="53"/>
      <c r="H539" s="53"/>
      <c r="I539" s="53"/>
      <c r="J539" s="53"/>
      <c r="K539" s="53"/>
    </row>
    <row r="540">
      <c r="B540" s="52"/>
      <c r="C540" s="53"/>
      <c r="D540" s="53"/>
      <c r="E540" s="53"/>
      <c r="F540" s="53"/>
      <c r="G540" s="53"/>
      <c r="H540" s="53"/>
      <c r="I540" s="53"/>
      <c r="J540" s="53"/>
      <c r="K540" s="53"/>
    </row>
    <row r="541">
      <c r="B541" s="52"/>
      <c r="C541" s="53"/>
      <c r="D541" s="53"/>
      <c r="E541" s="53"/>
      <c r="F541" s="53"/>
      <c r="G541" s="53"/>
      <c r="H541" s="53"/>
      <c r="I541" s="53"/>
      <c r="J541" s="53"/>
      <c r="K541" s="53"/>
    </row>
    <row r="542">
      <c r="B542" s="52"/>
      <c r="C542" s="53"/>
      <c r="D542" s="53"/>
      <c r="E542" s="53"/>
      <c r="F542" s="53"/>
      <c r="G542" s="53"/>
      <c r="H542" s="53"/>
      <c r="I542" s="53"/>
      <c r="J542" s="53"/>
      <c r="K542" s="53"/>
    </row>
    <row r="543">
      <c r="B543" s="52"/>
      <c r="C543" s="53"/>
      <c r="D543" s="53"/>
      <c r="E543" s="53"/>
      <c r="F543" s="53"/>
      <c r="G543" s="53"/>
      <c r="H543" s="53"/>
      <c r="I543" s="53"/>
      <c r="J543" s="53"/>
      <c r="K543" s="53"/>
    </row>
    <row r="544">
      <c r="B544" s="52"/>
      <c r="C544" s="53"/>
      <c r="D544" s="53"/>
      <c r="E544" s="53"/>
      <c r="F544" s="53"/>
      <c r="G544" s="53"/>
      <c r="H544" s="53"/>
      <c r="I544" s="53"/>
      <c r="J544" s="53"/>
      <c r="K544" s="53"/>
    </row>
    <row r="545">
      <c r="B545" s="52"/>
      <c r="C545" s="53"/>
      <c r="D545" s="53"/>
      <c r="E545" s="53"/>
      <c r="F545" s="53"/>
      <c r="G545" s="53"/>
      <c r="H545" s="53"/>
      <c r="I545" s="53"/>
      <c r="J545" s="53"/>
      <c r="K545" s="53"/>
    </row>
    <row r="546">
      <c r="B546" s="52"/>
      <c r="C546" s="53"/>
      <c r="D546" s="53"/>
      <c r="E546" s="53"/>
      <c r="F546" s="53"/>
      <c r="G546" s="53"/>
      <c r="H546" s="53"/>
      <c r="I546" s="53"/>
      <c r="J546" s="53"/>
      <c r="K546" s="53"/>
    </row>
    <row r="547">
      <c r="B547" s="52"/>
      <c r="C547" s="53"/>
      <c r="D547" s="53"/>
      <c r="E547" s="53"/>
      <c r="F547" s="53"/>
      <c r="G547" s="53"/>
      <c r="H547" s="53"/>
      <c r="I547" s="53"/>
      <c r="J547" s="53"/>
      <c r="K547" s="53"/>
    </row>
    <row r="548">
      <c r="B548" s="52"/>
      <c r="C548" s="53"/>
      <c r="D548" s="53"/>
      <c r="E548" s="53"/>
      <c r="F548" s="53"/>
      <c r="G548" s="53"/>
      <c r="H548" s="53"/>
      <c r="I548" s="53"/>
      <c r="J548" s="53"/>
      <c r="K548" s="53"/>
    </row>
    <row r="549">
      <c r="B549" s="52"/>
      <c r="C549" s="53"/>
      <c r="D549" s="53"/>
      <c r="E549" s="53"/>
      <c r="F549" s="53"/>
      <c r="G549" s="53"/>
      <c r="H549" s="53"/>
      <c r="I549" s="53"/>
      <c r="J549" s="53"/>
      <c r="K549" s="53"/>
    </row>
    <row r="550">
      <c r="B550" s="52"/>
      <c r="C550" s="53"/>
      <c r="D550" s="53"/>
      <c r="E550" s="53"/>
      <c r="F550" s="53"/>
      <c r="G550" s="53"/>
      <c r="H550" s="53"/>
      <c r="I550" s="53"/>
      <c r="J550" s="53"/>
      <c r="K550" s="53"/>
    </row>
    <row r="551">
      <c r="B551" s="52"/>
      <c r="C551" s="53"/>
      <c r="D551" s="53"/>
      <c r="E551" s="53"/>
      <c r="F551" s="53"/>
      <c r="G551" s="53"/>
      <c r="H551" s="53"/>
      <c r="I551" s="53"/>
      <c r="J551" s="53"/>
      <c r="K551" s="53"/>
    </row>
    <row r="552">
      <c r="B552" s="52"/>
      <c r="C552" s="53"/>
      <c r="D552" s="53"/>
      <c r="E552" s="53"/>
      <c r="F552" s="53"/>
      <c r="G552" s="53"/>
      <c r="H552" s="53"/>
      <c r="I552" s="53"/>
      <c r="J552" s="53"/>
      <c r="K552" s="53"/>
    </row>
    <row r="553">
      <c r="B553" s="52"/>
      <c r="C553" s="53"/>
      <c r="D553" s="53"/>
      <c r="E553" s="53"/>
      <c r="F553" s="53"/>
      <c r="G553" s="53"/>
      <c r="H553" s="53"/>
      <c r="I553" s="53"/>
      <c r="J553" s="53"/>
      <c r="K553" s="53"/>
    </row>
    <row r="554">
      <c r="B554" s="52"/>
      <c r="C554" s="53"/>
      <c r="D554" s="53"/>
      <c r="E554" s="53"/>
      <c r="F554" s="53"/>
      <c r="G554" s="53"/>
      <c r="H554" s="53"/>
      <c r="I554" s="53"/>
      <c r="J554" s="53"/>
      <c r="K554" s="53"/>
    </row>
    <row r="555">
      <c r="B555" s="52"/>
      <c r="C555" s="53"/>
      <c r="D555" s="53"/>
      <c r="E555" s="53"/>
      <c r="F555" s="53"/>
      <c r="G555" s="53"/>
      <c r="H555" s="53"/>
      <c r="I555" s="53"/>
      <c r="J555" s="53"/>
      <c r="K555" s="53"/>
    </row>
    <row r="556">
      <c r="B556" s="52"/>
      <c r="C556" s="53"/>
      <c r="D556" s="53"/>
      <c r="E556" s="53"/>
      <c r="F556" s="53"/>
      <c r="G556" s="53"/>
      <c r="H556" s="53"/>
      <c r="I556" s="53"/>
      <c r="J556" s="53"/>
      <c r="K556" s="53"/>
    </row>
    <row r="557">
      <c r="B557" s="52"/>
      <c r="C557" s="53"/>
      <c r="D557" s="53"/>
      <c r="E557" s="53"/>
      <c r="F557" s="53"/>
      <c r="G557" s="53"/>
      <c r="H557" s="53"/>
      <c r="I557" s="53"/>
      <c r="J557" s="53"/>
      <c r="K557" s="53"/>
    </row>
    <row r="558">
      <c r="B558" s="52"/>
      <c r="C558" s="53"/>
      <c r="D558" s="53"/>
      <c r="E558" s="53"/>
      <c r="F558" s="53"/>
      <c r="G558" s="53"/>
      <c r="H558" s="53"/>
      <c r="I558" s="53"/>
      <c r="J558" s="53"/>
      <c r="K558" s="53"/>
    </row>
    <row r="559">
      <c r="B559" s="52"/>
      <c r="C559" s="53"/>
      <c r="D559" s="53"/>
      <c r="E559" s="53"/>
      <c r="F559" s="53"/>
      <c r="G559" s="53"/>
      <c r="H559" s="53"/>
      <c r="I559" s="53"/>
      <c r="J559" s="53"/>
      <c r="K559" s="53"/>
    </row>
    <row r="560">
      <c r="B560" s="52"/>
      <c r="C560" s="53"/>
      <c r="D560" s="53"/>
      <c r="E560" s="53"/>
      <c r="F560" s="53"/>
      <c r="G560" s="53"/>
      <c r="H560" s="53"/>
      <c r="I560" s="53"/>
      <c r="J560" s="53"/>
      <c r="K560" s="53"/>
    </row>
    <row r="561">
      <c r="B561" s="52"/>
      <c r="C561" s="53"/>
      <c r="D561" s="53"/>
      <c r="E561" s="53"/>
      <c r="F561" s="53"/>
      <c r="G561" s="53"/>
      <c r="H561" s="53"/>
      <c r="I561" s="53"/>
      <c r="J561" s="53"/>
      <c r="K561" s="53"/>
    </row>
    <row r="562">
      <c r="B562" s="52"/>
      <c r="C562" s="53"/>
      <c r="D562" s="53"/>
      <c r="E562" s="53"/>
      <c r="F562" s="53"/>
      <c r="G562" s="53"/>
      <c r="H562" s="53"/>
      <c r="I562" s="53"/>
      <c r="J562" s="53"/>
      <c r="K562" s="53"/>
    </row>
    <row r="563">
      <c r="B563" s="52"/>
      <c r="C563" s="53"/>
      <c r="D563" s="53"/>
      <c r="E563" s="53"/>
      <c r="F563" s="53"/>
      <c r="G563" s="53"/>
      <c r="H563" s="53"/>
      <c r="I563" s="53"/>
      <c r="J563" s="53"/>
      <c r="K563" s="53"/>
    </row>
    <row r="564">
      <c r="B564" s="52"/>
      <c r="C564" s="53"/>
      <c r="D564" s="53"/>
      <c r="E564" s="53"/>
      <c r="F564" s="53"/>
      <c r="G564" s="53"/>
      <c r="H564" s="53"/>
      <c r="I564" s="53"/>
      <c r="J564" s="53"/>
      <c r="K564" s="53"/>
    </row>
    <row r="565">
      <c r="B565" s="52"/>
      <c r="C565" s="53"/>
      <c r="D565" s="53"/>
      <c r="E565" s="53"/>
      <c r="F565" s="53"/>
      <c r="G565" s="53"/>
      <c r="H565" s="53"/>
      <c r="I565" s="53"/>
      <c r="J565" s="53"/>
      <c r="K565" s="53"/>
    </row>
    <row r="566">
      <c r="B566" s="52"/>
      <c r="C566" s="53"/>
      <c r="D566" s="53"/>
      <c r="E566" s="53"/>
      <c r="F566" s="53"/>
      <c r="G566" s="53"/>
      <c r="H566" s="53"/>
      <c r="I566" s="53"/>
      <c r="J566" s="53"/>
      <c r="K566" s="53"/>
    </row>
    <row r="567">
      <c r="B567" s="52"/>
      <c r="C567" s="53"/>
      <c r="D567" s="53"/>
      <c r="E567" s="53"/>
      <c r="F567" s="53"/>
      <c r="G567" s="53"/>
      <c r="H567" s="53"/>
      <c r="I567" s="53"/>
      <c r="J567" s="53"/>
      <c r="K567" s="53"/>
    </row>
    <row r="568">
      <c r="B568" s="52"/>
      <c r="C568" s="53"/>
      <c r="D568" s="53"/>
      <c r="E568" s="53"/>
      <c r="F568" s="53"/>
      <c r="G568" s="53"/>
      <c r="H568" s="53"/>
      <c r="I568" s="53"/>
      <c r="J568" s="53"/>
      <c r="K568" s="53"/>
    </row>
    <row r="569">
      <c r="B569" s="52"/>
      <c r="C569" s="53"/>
      <c r="D569" s="53"/>
      <c r="E569" s="53"/>
      <c r="F569" s="53"/>
      <c r="G569" s="53"/>
      <c r="H569" s="53"/>
      <c r="I569" s="53"/>
      <c r="J569" s="53"/>
      <c r="K569" s="53"/>
    </row>
    <row r="570">
      <c r="B570" s="52"/>
      <c r="C570" s="53"/>
      <c r="D570" s="53"/>
      <c r="E570" s="53"/>
      <c r="F570" s="53"/>
      <c r="G570" s="53"/>
      <c r="H570" s="53"/>
      <c r="I570" s="53"/>
      <c r="J570" s="53"/>
      <c r="K570" s="53"/>
    </row>
    <row r="571">
      <c r="B571" s="52"/>
      <c r="C571" s="53"/>
      <c r="D571" s="53"/>
      <c r="E571" s="53"/>
      <c r="F571" s="53"/>
      <c r="G571" s="53"/>
      <c r="H571" s="53"/>
      <c r="I571" s="53"/>
      <c r="J571" s="53"/>
      <c r="K571" s="53"/>
    </row>
    <row r="572">
      <c r="B572" s="52"/>
      <c r="C572" s="53"/>
      <c r="D572" s="53"/>
      <c r="E572" s="53"/>
      <c r="F572" s="53"/>
      <c r="G572" s="53"/>
      <c r="H572" s="53"/>
      <c r="I572" s="53"/>
      <c r="J572" s="53"/>
      <c r="K572" s="53"/>
    </row>
    <row r="573">
      <c r="B573" s="52"/>
      <c r="C573" s="53"/>
      <c r="D573" s="53"/>
      <c r="E573" s="53"/>
      <c r="F573" s="53"/>
      <c r="G573" s="53"/>
      <c r="H573" s="53"/>
      <c r="I573" s="53"/>
      <c r="J573" s="53"/>
      <c r="K573" s="53"/>
    </row>
    <row r="574">
      <c r="B574" s="52"/>
      <c r="C574" s="53"/>
      <c r="D574" s="53"/>
      <c r="E574" s="53"/>
      <c r="F574" s="53"/>
      <c r="G574" s="53"/>
      <c r="H574" s="53"/>
      <c r="I574" s="53"/>
      <c r="J574" s="53"/>
      <c r="K574" s="53"/>
    </row>
    <row r="575">
      <c r="B575" s="52"/>
      <c r="C575" s="53"/>
      <c r="D575" s="53"/>
      <c r="E575" s="53"/>
      <c r="F575" s="53"/>
      <c r="G575" s="53"/>
      <c r="H575" s="53"/>
      <c r="I575" s="53"/>
      <c r="J575" s="53"/>
      <c r="K575" s="53"/>
    </row>
    <row r="576">
      <c r="B576" s="52"/>
      <c r="C576" s="53"/>
      <c r="D576" s="53"/>
      <c r="E576" s="53"/>
      <c r="F576" s="53"/>
      <c r="G576" s="53"/>
      <c r="H576" s="53"/>
      <c r="I576" s="53"/>
      <c r="J576" s="53"/>
      <c r="K576" s="53"/>
    </row>
    <row r="577">
      <c r="B577" s="52"/>
      <c r="C577" s="53"/>
      <c r="D577" s="53"/>
      <c r="E577" s="53"/>
      <c r="F577" s="53"/>
      <c r="G577" s="53"/>
      <c r="H577" s="53"/>
      <c r="I577" s="53"/>
      <c r="J577" s="53"/>
      <c r="K577" s="53"/>
    </row>
    <row r="578">
      <c r="B578" s="52"/>
      <c r="C578" s="53"/>
      <c r="D578" s="53"/>
      <c r="E578" s="53"/>
      <c r="F578" s="53"/>
      <c r="G578" s="53"/>
      <c r="H578" s="53"/>
      <c r="I578" s="53"/>
      <c r="J578" s="53"/>
      <c r="K578" s="53"/>
    </row>
    <row r="579">
      <c r="B579" s="52"/>
      <c r="C579" s="53"/>
      <c r="D579" s="53"/>
      <c r="E579" s="53"/>
      <c r="F579" s="53"/>
      <c r="G579" s="53"/>
      <c r="H579" s="53"/>
      <c r="I579" s="53"/>
      <c r="J579" s="53"/>
      <c r="K579" s="53"/>
    </row>
    <row r="580">
      <c r="B580" s="52"/>
      <c r="C580" s="53"/>
      <c r="D580" s="53"/>
      <c r="E580" s="53"/>
      <c r="F580" s="53"/>
      <c r="G580" s="53"/>
      <c r="H580" s="53"/>
      <c r="I580" s="53"/>
      <c r="J580" s="53"/>
      <c r="K580" s="53"/>
    </row>
    <row r="581">
      <c r="B581" s="52"/>
      <c r="C581" s="53"/>
      <c r="D581" s="53"/>
      <c r="E581" s="53"/>
      <c r="F581" s="53"/>
      <c r="G581" s="53"/>
      <c r="H581" s="53"/>
      <c r="I581" s="53"/>
      <c r="J581" s="53"/>
      <c r="K581" s="53"/>
    </row>
    <row r="582">
      <c r="B582" s="52"/>
      <c r="C582" s="53"/>
      <c r="D582" s="53"/>
      <c r="E582" s="53"/>
      <c r="F582" s="53"/>
      <c r="G582" s="53"/>
      <c r="H582" s="53"/>
      <c r="I582" s="53"/>
      <c r="J582" s="53"/>
      <c r="K582" s="53"/>
    </row>
    <row r="583">
      <c r="B583" s="52"/>
      <c r="C583" s="53"/>
      <c r="D583" s="53"/>
      <c r="E583" s="53"/>
      <c r="F583" s="53"/>
      <c r="G583" s="53"/>
      <c r="H583" s="53"/>
      <c r="I583" s="53"/>
      <c r="J583" s="53"/>
      <c r="K583" s="53"/>
    </row>
    <row r="584">
      <c r="B584" s="52"/>
      <c r="C584" s="53"/>
      <c r="D584" s="53"/>
      <c r="E584" s="53"/>
      <c r="F584" s="53"/>
      <c r="G584" s="53"/>
      <c r="H584" s="53"/>
      <c r="I584" s="53"/>
      <c r="J584" s="53"/>
      <c r="K584" s="53"/>
    </row>
    <row r="585">
      <c r="B585" s="52"/>
      <c r="C585" s="53"/>
      <c r="D585" s="53"/>
      <c r="E585" s="53"/>
      <c r="F585" s="53"/>
      <c r="G585" s="53"/>
      <c r="H585" s="53"/>
      <c r="I585" s="53"/>
      <c r="J585" s="53"/>
      <c r="K585" s="53"/>
    </row>
    <row r="586">
      <c r="B586" s="52"/>
      <c r="C586" s="53"/>
      <c r="D586" s="53"/>
      <c r="E586" s="53"/>
      <c r="F586" s="53"/>
      <c r="G586" s="53"/>
      <c r="H586" s="53"/>
      <c r="I586" s="53"/>
      <c r="J586" s="53"/>
      <c r="K586" s="53"/>
    </row>
    <row r="587">
      <c r="B587" s="52"/>
      <c r="C587" s="53"/>
      <c r="D587" s="53"/>
      <c r="E587" s="53"/>
      <c r="F587" s="53"/>
      <c r="G587" s="53"/>
      <c r="H587" s="53"/>
      <c r="I587" s="53"/>
      <c r="J587" s="53"/>
      <c r="K587" s="53"/>
    </row>
    <row r="588">
      <c r="B588" s="52"/>
      <c r="C588" s="53"/>
      <c r="D588" s="53"/>
      <c r="E588" s="53"/>
      <c r="F588" s="53"/>
      <c r="G588" s="53"/>
      <c r="H588" s="53"/>
      <c r="I588" s="53"/>
      <c r="J588" s="53"/>
      <c r="K588" s="53"/>
    </row>
    <row r="589">
      <c r="B589" s="52"/>
      <c r="C589" s="53"/>
      <c r="D589" s="53"/>
      <c r="E589" s="53"/>
      <c r="F589" s="53"/>
      <c r="G589" s="53"/>
      <c r="H589" s="53"/>
      <c r="I589" s="53"/>
      <c r="J589" s="53"/>
      <c r="K589" s="53"/>
    </row>
    <row r="590">
      <c r="B590" s="52"/>
      <c r="C590" s="53"/>
      <c r="D590" s="53"/>
      <c r="E590" s="53"/>
      <c r="F590" s="53"/>
      <c r="G590" s="53"/>
      <c r="H590" s="53"/>
      <c r="I590" s="53"/>
      <c r="J590" s="53"/>
      <c r="K590" s="53"/>
    </row>
    <row r="591">
      <c r="B591" s="52"/>
      <c r="C591" s="53"/>
      <c r="D591" s="53"/>
      <c r="E591" s="53"/>
      <c r="F591" s="53"/>
      <c r="G591" s="53"/>
      <c r="H591" s="53"/>
      <c r="I591" s="53"/>
      <c r="J591" s="53"/>
      <c r="K591" s="53"/>
    </row>
    <row r="592">
      <c r="B592" s="52"/>
      <c r="C592" s="53"/>
      <c r="D592" s="53"/>
      <c r="E592" s="53"/>
      <c r="F592" s="53"/>
      <c r="G592" s="53"/>
      <c r="H592" s="53"/>
      <c r="I592" s="53"/>
      <c r="J592" s="53"/>
      <c r="K592" s="53"/>
    </row>
    <row r="593">
      <c r="B593" s="52"/>
      <c r="C593" s="53"/>
      <c r="D593" s="53"/>
      <c r="E593" s="53"/>
      <c r="F593" s="53"/>
      <c r="G593" s="53"/>
      <c r="H593" s="53"/>
      <c r="I593" s="53"/>
      <c r="J593" s="53"/>
      <c r="K593" s="53"/>
    </row>
    <row r="594">
      <c r="B594" s="52"/>
      <c r="C594" s="53"/>
      <c r="D594" s="53"/>
      <c r="E594" s="53"/>
      <c r="F594" s="53"/>
      <c r="G594" s="53"/>
      <c r="H594" s="53"/>
      <c r="I594" s="53"/>
      <c r="J594" s="53"/>
      <c r="K594" s="53"/>
    </row>
    <row r="595">
      <c r="B595" s="52"/>
      <c r="C595" s="53"/>
      <c r="D595" s="53"/>
      <c r="E595" s="53"/>
      <c r="F595" s="53"/>
      <c r="G595" s="53"/>
      <c r="H595" s="53"/>
      <c r="I595" s="53"/>
      <c r="J595" s="53"/>
      <c r="K595" s="53"/>
    </row>
    <row r="596">
      <c r="B596" s="52"/>
      <c r="C596" s="53"/>
      <c r="D596" s="53"/>
      <c r="E596" s="53"/>
      <c r="F596" s="53"/>
      <c r="G596" s="53"/>
      <c r="H596" s="53"/>
      <c r="I596" s="53"/>
      <c r="J596" s="53"/>
      <c r="K596" s="53"/>
    </row>
    <row r="597">
      <c r="B597" s="52"/>
      <c r="C597" s="53"/>
      <c r="D597" s="53"/>
      <c r="E597" s="53"/>
      <c r="F597" s="53"/>
      <c r="G597" s="53"/>
      <c r="H597" s="53"/>
      <c r="I597" s="53"/>
      <c r="J597" s="53"/>
      <c r="K597" s="53"/>
    </row>
    <row r="598">
      <c r="B598" s="52"/>
      <c r="C598" s="53"/>
      <c r="D598" s="53"/>
      <c r="E598" s="53"/>
      <c r="F598" s="53"/>
      <c r="G598" s="53"/>
      <c r="H598" s="53"/>
      <c r="I598" s="53"/>
      <c r="J598" s="53"/>
      <c r="K598" s="53"/>
    </row>
    <row r="599">
      <c r="B599" s="52"/>
      <c r="C599" s="53"/>
      <c r="D599" s="53"/>
      <c r="E599" s="53"/>
      <c r="F599" s="53"/>
      <c r="G599" s="53"/>
      <c r="H599" s="53"/>
      <c r="I599" s="53"/>
      <c r="J599" s="53"/>
      <c r="K599" s="53"/>
    </row>
    <row r="600">
      <c r="B600" s="52"/>
      <c r="C600" s="53"/>
      <c r="D600" s="53"/>
      <c r="E600" s="53"/>
      <c r="F600" s="53"/>
      <c r="G600" s="53"/>
      <c r="H600" s="53"/>
      <c r="I600" s="53"/>
      <c r="J600" s="53"/>
      <c r="K600" s="53"/>
    </row>
    <row r="601">
      <c r="B601" s="52"/>
      <c r="C601" s="53"/>
      <c r="D601" s="53"/>
      <c r="E601" s="53"/>
      <c r="F601" s="53"/>
      <c r="G601" s="53"/>
      <c r="H601" s="53"/>
      <c r="I601" s="53"/>
      <c r="J601" s="53"/>
      <c r="K601" s="53"/>
    </row>
    <row r="602">
      <c r="B602" s="52"/>
      <c r="C602" s="53"/>
      <c r="D602" s="53"/>
      <c r="E602" s="53"/>
      <c r="F602" s="53"/>
      <c r="G602" s="53"/>
      <c r="H602" s="53"/>
      <c r="I602" s="53"/>
      <c r="J602" s="53"/>
      <c r="K602" s="53"/>
    </row>
    <row r="603">
      <c r="B603" s="52"/>
      <c r="C603" s="53"/>
      <c r="D603" s="53"/>
      <c r="E603" s="53"/>
      <c r="F603" s="53"/>
      <c r="G603" s="53"/>
      <c r="H603" s="53"/>
      <c r="I603" s="53"/>
      <c r="J603" s="53"/>
      <c r="K603" s="53"/>
    </row>
    <row r="604">
      <c r="B604" s="52"/>
      <c r="C604" s="53"/>
      <c r="D604" s="53"/>
      <c r="E604" s="53"/>
      <c r="F604" s="53"/>
      <c r="G604" s="53"/>
      <c r="H604" s="53"/>
      <c r="I604" s="53"/>
      <c r="J604" s="53"/>
      <c r="K604" s="53"/>
    </row>
    <row r="605">
      <c r="B605" s="52"/>
      <c r="C605" s="53"/>
      <c r="D605" s="53"/>
      <c r="E605" s="53"/>
      <c r="F605" s="53"/>
      <c r="G605" s="53"/>
      <c r="H605" s="53"/>
      <c r="I605" s="53"/>
      <c r="J605" s="53"/>
      <c r="K605" s="53"/>
    </row>
    <row r="606">
      <c r="B606" s="52"/>
      <c r="C606" s="53"/>
      <c r="D606" s="53"/>
      <c r="E606" s="53"/>
      <c r="F606" s="53"/>
      <c r="G606" s="53"/>
      <c r="H606" s="53"/>
      <c r="I606" s="53"/>
      <c r="J606" s="53"/>
      <c r="K606" s="53"/>
    </row>
    <row r="607">
      <c r="B607" s="52"/>
      <c r="C607" s="53"/>
      <c r="D607" s="53"/>
      <c r="E607" s="53"/>
      <c r="F607" s="53"/>
      <c r="G607" s="53"/>
      <c r="H607" s="53"/>
      <c r="I607" s="53"/>
      <c r="J607" s="53"/>
      <c r="K607" s="53"/>
    </row>
    <row r="608">
      <c r="B608" s="52"/>
      <c r="C608" s="53"/>
      <c r="D608" s="53"/>
      <c r="E608" s="53"/>
      <c r="F608" s="53"/>
      <c r="G608" s="53"/>
      <c r="H608" s="53"/>
      <c r="I608" s="53"/>
      <c r="J608" s="53"/>
      <c r="K608" s="53"/>
    </row>
    <row r="609">
      <c r="B609" s="52"/>
      <c r="C609" s="53"/>
      <c r="D609" s="53"/>
      <c r="E609" s="53"/>
      <c r="F609" s="53"/>
      <c r="G609" s="53"/>
      <c r="H609" s="53"/>
      <c r="I609" s="53"/>
      <c r="J609" s="53"/>
      <c r="K609" s="53"/>
    </row>
    <row r="610">
      <c r="B610" s="52"/>
      <c r="C610" s="53"/>
      <c r="D610" s="53"/>
      <c r="E610" s="53"/>
      <c r="F610" s="53"/>
      <c r="G610" s="53"/>
      <c r="H610" s="53"/>
      <c r="I610" s="53"/>
      <c r="J610" s="53"/>
      <c r="K610" s="53"/>
    </row>
    <row r="611">
      <c r="B611" s="52"/>
      <c r="C611" s="53"/>
      <c r="D611" s="53"/>
      <c r="E611" s="53"/>
      <c r="F611" s="53"/>
      <c r="G611" s="53"/>
      <c r="H611" s="53"/>
      <c r="I611" s="53"/>
      <c r="J611" s="53"/>
      <c r="K611" s="53"/>
    </row>
    <row r="612">
      <c r="B612" s="52"/>
      <c r="C612" s="53"/>
      <c r="D612" s="53"/>
      <c r="E612" s="53"/>
      <c r="F612" s="53"/>
      <c r="G612" s="53"/>
      <c r="H612" s="53"/>
      <c r="I612" s="53"/>
      <c r="J612" s="53"/>
      <c r="K612" s="53"/>
    </row>
    <row r="613">
      <c r="B613" s="52"/>
      <c r="C613" s="53"/>
      <c r="D613" s="53"/>
      <c r="E613" s="53"/>
      <c r="F613" s="53"/>
      <c r="G613" s="53"/>
      <c r="H613" s="53"/>
      <c r="I613" s="53"/>
      <c r="J613" s="53"/>
      <c r="K613" s="53"/>
    </row>
    <row r="614">
      <c r="B614" s="52"/>
      <c r="C614" s="53"/>
      <c r="D614" s="53"/>
      <c r="E614" s="53"/>
      <c r="F614" s="53"/>
      <c r="G614" s="53"/>
      <c r="H614" s="53"/>
      <c r="I614" s="53"/>
      <c r="J614" s="53"/>
      <c r="K614" s="53"/>
    </row>
    <row r="615">
      <c r="B615" s="52"/>
      <c r="C615" s="53"/>
      <c r="D615" s="53"/>
      <c r="E615" s="53"/>
      <c r="F615" s="53"/>
      <c r="G615" s="53"/>
      <c r="H615" s="53"/>
      <c r="I615" s="53"/>
      <c r="J615" s="53"/>
      <c r="K615" s="53"/>
    </row>
    <row r="616">
      <c r="B616" s="52"/>
      <c r="C616" s="53"/>
      <c r="D616" s="53"/>
      <c r="E616" s="53"/>
      <c r="F616" s="53"/>
      <c r="G616" s="53"/>
      <c r="H616" s="53"/>
      <c r="I616" s="53"/>
      <c r="J616" s="53"/>
      <c r="K616" s="53"/>
    </row>
    <row r="617">
      <c r="B617" s="52"/>
      <c r="C617" s="53"/>
      <c r="D617" s="53"/>
      <c r="E617" s="53"/>
      <c r="F617" s="53"/>
      <c r="G617" s="53"/>
      <c r="H617" s="53"/>
      <c r="I617" s="53"/>
      <c r="J617" s="53"/>
      <c r="K617" s="53"/>
    </row>
    <row r="618">
      <c r="B618" s="52"/>
      <c r="C618" s="53"/>
      <c r="D618" s="53"/>
      <c r="E618" s="53"/>
      <c r="F618" s="53"/>
      <c r="G618" s="53"/>
      <c r="H618" s="53"/>
      <c r="I618" s="53"/>
      <c r="J618" s="53"/>
      <c r="K618" s="53"/>
    </row>
    <row r="619">
      <c r="B619" s="52"/>
      <c r="C619" s="53"/>
      <c r="D619" s="53"/>
      <c r="E619" s="53"/>
      <c r="F619" s="53"/>
      <c r="G619" s="53"/>
      <c r="H619" s="53"/>
      <c r="I619" s="53"/>
      <c r="J619" s="53"/>
      <c r="K619" s="53"/>
    </row>
    <row r="620">
      <c r="B620" s="52"/>
      <c r="C620" s="53"/>
      <c r="D620" s="53"/>
      <c r="E620" s="53"/>
      <c r="F620" s="53"/>
      <c r="G620" s="53"/>
      <c r="H620" s="53"/>
      <c r="I620" s="53"/>
      <c r="J620" s="53"/>
      <c r="K620" s="53"/>
    </row>
    <row r="621">
      <c r="B621" s="52"/>
      <c r="C621" s="53"/>
      <c r="D621" s="53"/>
      <c r="E621" s="53"/>
      <c r="F621" s="53"/>
      <c r="G621" s="53"/>
      <c r="H621" s="53"/>
      <c r="I621" s="53"/>
      <c r="J621" s="53"/>
      <c r="K621" s="53"/>
    </row>
    <row r="622">
      <c r="B622" s="52"/>
      <c r="C622" s="53"/>
      <c r="D622" s="53"/>
      <c r="E622" s="53"/>
      <c r="F622" s="53"/>
      <c r="G622" s="53"/>
      <c r="H622" s="53"/>
      <c r="I622" s="53"/>
      <c r="J622" s="53"/>
      <c r="K622" s="53"/>
    </row>
    <row r="623">
      <c r="B623" s="52"/>
      <c r="C623" s="53"/>
      <c r="D623" s="53"/>
      <c r="E623" s="53"/>
      <c r="F623" s="53"/>
      <c r="G623" s="53"/>
      <c r="H623" s="53"/>
      <c r="I623" s="53"/>
      <c r="J623" s="53"/>
      <c r="K623" s="53"/>
    </row>
    <row r="624">
      <c r="B624" s="52"/>
      <c r="C624" s="53"/>
      <c r="D624" s="53"/>
      <c r="E624" s="53"/>
      <c r="F624" s="53"/>
      <c r="G624" s="53"/>
      <c r="H624" s="53"/>
      <c r="I624" s="53"/>
      <c r="J624" s="53"/>
      <c r="K624" s="53"/>
    </row>
    <row r="625">
      <c r="B625" s="52"/>
      <c r="C625" s="53"/>
      <c r="D625" s="53"/>
      <c r="E625" s="53"/>
      <c r="F625" s="53"/>
      <c r="G625" s="53"/>
      <c r="H625" s="53"/>
      <c r="I625" s="53"/>
      <c r="J625" s="53"/>
      <c r="K625" s="53"/>
    </row>
    <row r="626">
      <c r="B626" s="52"/>
      <c r="C626" s="53"/>
      <c r="D626" s="53"/>
      <c r="E626" s="53"/>
      <c r="F626" s="53"/>
      <c r="G626" s="53"/>
      <c r="H626" s="53"/>
      <c r="I626" s="53"/>
      <c r="J626" s="53"/>
      <c r="K626" s="53"/>
    </row>
    <row r="627">
      <c r="B627" s="52"/>
      <c r="C627" s="53"/>
      <c r="D627" s="53"/>
      <c r="E627" s="53"/>
      <c r="F627" s="53"/>
      <c r="G627" s="53"/>
      <c r="H627" s="53"/>
      <c r="I627" s="53"/>
      <c r="J627" s="53"/>
      <c r="K627" s="53"/>
    </row>
    <row r="628">
      <c r="B628" s="52"/>
      <c r="C628" s="53"/>
      <c r="D628" s="53"/>
      <c r="E628" s="53"/>
      <c r="F628" s="53"/>
      <c r="G628" s="53"/>
      <c r="H628" s="53"/>
      <c r="I628" s="53"/>
      <c r="J628" s="53"/>
      <c r="K628" s="53"/>
    </row>
    <row r="629">
      <c r="B629" s="52"/>
      <c r="C629" s="53"/>
      <c r="D629" s="53"/>
      <c r="E629" s="53"/>
      <c r="F629" s="53"/>
      <c r="G629" s="53"/>
      <c r="H629" s="53"/>
      <c r="I629" s="53"/>
      <c r="J629" s="53"/>
      <c r="K629" s="53"/>
    </row>
    <row r="630">
      <c r="B630" s="52"/>
      <c r="C630" s="53"/>
      <c r="D630" s="53"/>
      <c r="E630" s="53"/>
      <c r="F630" s="53"/>
      <c r="G630" s="53"/>
      <c r="H630" s="53"/>
      <c r="I630" s="53"/>
      <c r="J630" s="53"/>
      <c r="K630" s="53"/>
    </row>
    <row r="631">
      <c r="B631" s="52"/>
      <c r="C631" s="53"/>
      <c r="D631" s="53"/>
      <c r="E631" s="53"/>
      <c r="F631" s="53"/>
      <c r="G631" s="53"/>
      <c r="H631" s="53"/>
      <c r="I631" s="53"/>
      <c r="J631" s="53"/>
      <c r="K631" s="53"/>
    </row>
    <row r="632">
      <c r="B632" s="52"/>
      <c r="C632" s="53"/>
      <c r="D632" s="53"/>
      <c r="E632" s="53"/>
      <c r="F632" s="53"/>
      <c r="G632" s="53"/>
      <c r="H632" s="53"/>
      <c r="I632" s="53"/>
      <c r="J632" s="53"/>
      <c r="K632" s="53"/>
    </row>
    <row r="633">
      <c r="B633" s="52"/>
      <c r="C633" s="53"/>
      <c r="D633" s="53"/>
      <c r="E633" s="53"/>
      <c r="F633" s="53"/>
      <c r="G633" s="53"/>
      <c r="H633" s="53"/>
      <c r="I633" s="53"/>
      <c r="J633" s="53"/>
      <c r="K633" s="53"/>
    </row>
    <row r="634">
      <c r="B634" s="52"/>
      <c r="C634" s="53"/>
      <c r="D634" s="53"/>
      <c r="E634" s="53"/>
      <c r="F634" s="53"/>
      <c r="G634" s="53"/>
      <c r="H634" s="53"/>
      <c r="I634" s="53"/>
      <c r="J634" s="53"/>
      <c r="K634" s="53"/>
    </row>
    <row r="635">
      <c r="B635" s="52"/>
      <c r="C635" s="53"/>
      <c r="D635" s="53"/>
      <c r="E635" s="53"/>
      <c r="F635" s="53"/>
      <c r="G635" s="53"/>
      <c r="H635" s="53"/>
      <c r="I635" s="53"/>
      <c r="J635" s="53"/>
      <c r="K635" s="53"/>
    </row>
    <row r="636">
      <c r="B636" s="52"/>
      <c r="C636" s="53"/>
      <c r="D636" s="53"/>
      <c r="E636" s="53"/>
      <c r="F636" s="53"/>
      <c r="G636" s="53"/>
      <c r="H636" s="53"/>
      <c r="I636" s="53"/>
      <c r="J636" s="53"/>
      <c r="K636" s="53"/>
    </row>
    <row r="637">
      <c r="B637" s="52"/>
      <c r="C637" s="53"/>
      <c r="D637" s="53"/>
      <c r="E637" s="53"/>
      <c r="F637" s="53"/>
      <c r="G637" s="53"/>
      <c r="H637" s="53"/>
      <c r="I637" s="53"/>
      <c r="J637" s="53"/>
      <c r="K637" s="53"/>
    </row>
    <row r="638">
      <c r="B638" s="52"/>
      <c r="C638" s="53"/>
      <c r="D638" s="53"/>
      <c r="E638" s="53"/>
      <c r="F638" s="53"/>
      <c r="G638" s="53"/>
      <c r="H638" s="53"/>
      <c r="I638" s="53"/>
      <c r="J638" s="53"/>
      <c r="K638" s="53"/>
    </row>
    <row r="639">
      <c r="B639" s="52"/>
      <c r="C639" s="53"/>
      <c r="D639" s="53"/>
      <c r="E639" s="53"/>
      <c r="F639" s="53"/>
      <c r="G639" s="53"/>
      <c r="H639" s="53"/>
      <c r="I639" s="53"/>
      <c r="J639" s="53"/>
      <c r="K639" s="53"/>
    </row>
    <row r="640">
      <c r="B640" s="52"/>
      <c r="C640" s="53"/>
      <c r="D640" s="53"/>
      <c r="E640" s="53"/>
      <c r="F640" s="53"/>
      <c r="G640" s="53"/>
      <c r="H640" s="53"/>
      <c r="I640" s="53"/>
      <c r="J640" s="53"/>
      <c r="K640" s="53"/>
    </row>
    <row r="641">
      <c r="B641" s="52"/>
      <c r="C641" s="53"/>
      <c r="D641" s="53"/>
      <c r="E641" s="53"/>
      <c r="F641" s="53"/>
      <c r="G641" s="53"/>
      <c r="H641" s="53"/>
      <c r="I641" s="53"/>
      <c r="J641" s="53"/>
      <c r="K641" s="53"/>
    </row>
    <row r="642">
      <c r="B642" s="52"/>
      <c r="C642" s="53"/>
      <c r="D642" s="53"/>
      <c r="E642" s="53"/>
      <c r="F642" s="53"/>
      <c r="G642" s="53"/>
      <c r="H642" s="53"/>
      <c r="I642" s="53"/>
      <c r="J642" s="53"/>
      <c r="K642" s="53"/>
    </row>
    <row r="643">
      <c r="B643" s="52"/>
      <c r="C643" s="53"/>
      <c r="D643" s="53"/>
      <c r="E643" s="53"/>
      <c r="F643" s="53"/>
      <c r="G643" s="53"/>
      <c r="H643" s="53"/>
      <c r="I643" s="53"/>
      <c r="J643" s="53"/>
      <c r="K643" s="53"/>
    </row>
    <row r="644">
      <c r="B644" s="52"/>
      <c r="C644" s="53"/>
      <c r="D644" s="53"/>
      <c r="E644" s="53"/>
      <c r="F644" s="53"/>
      <c r="G644" s="53"/>
      <c r="H644" s="53"/>
      <c r="I644" s="53"/>
      <c r="J644" s="53"/>
      <c r="K644" s="53"/>
    </row>
    <row r="645">
      <c r="B645" s="52"/>
      <c r="C645" s="53"/>
      <c r="D645" s="53"/>
      <c r="E645" s="53"/>
      <c r="F645" s="53"/>
      <c r="G645" s="53"/>
      <c r="H645" s="53"/>
      <c r="I645" s="53"/>
      <c r="J645" s="53"/>
      <c r="K645" s="53"/>
    </row>
    <row r="646">
      <c r="B646" s="52"/>
      <c r="C646" s="53"/>
      <c r="D646" s="53"/>
      <c r="E646" s="53"/>
      <c r="F646" s="53"/>
      <c r="G646" s="53"/>
      <c r="H646" s="53"/>
      <c r="I646" s="53"/>
      <c r="J646" s="53"/>
      <c r="K646" s="53"/>
    </row>
    <row r="647">
      <c r="B647" s="52"/>
      <c r="C647" s="53"/>
      <c r="D647" s="53"/>
      <c r="E647" s="53"/>
      <c r="F647" s="53"/>
      <c r="G647" s="53"/>
      <c r="H647" s="53"/>
      <c r="I647" s="53"/>
      <c r="J647" s="53"/>
      <c r="K647" s="53"/>
    </row>
    <row r="648">
      <c r="B648" s="52"/>
      <c r="C648" s="53"/>
      <c r="D648" s="53"/>
      <c r="E648" s="53"/>
      <c r="F648" s="53"/>
      <c r="G648" s="53"/>
      <c r="H648" s="53"/>
      <c r="I648" s="53"/>
      <c r="J648" s="53"/>
      <c r="K648" s="53"/>
    </row>
    <row r="649">
      <c r="B649" s="52"/>
      <c r="C649" s="53"/>
      <c r="D649" s="53"/>
      <c r="E649" s="53"/>
      <c r="F649" s="53"/>
      <c r="G649" s="53"/>
      <c r="H649" s="53"/>
      <c r="I649" s="53"/>
      <c r="J649" s="53"/>
      <c r="K649" s="53"/>
    </row>
    <row r="650">
      <c r="B650" s="52"/>
      <c r="C650" s="53"/>
      <c r="D650" s="53"/>
      <c r="E650" s="53"/>
      <c r="F650" s="53"/>
      <c r="G650" s="53"/>
      <c r="H650" s="53"/>
      <c r="I650" s="53"/>
      <c r="J650" s="53"/>
      <c r="K650" s="53"/>
    </row>
    <row r="651">
      <c r="B651" s="52"/>
      <c r="C651" s="53"/>
      <c r="D651" s="53"/>
      <c r="E651" s="53"/>
      <c r="F651" s="53"/>
      <c r="G651" s="53"/>
      <c r="H651" s="53"/>
      <c r="I651" s="53"/>
      <c r="J651" s="53"/>
      <c r="K651" s="53"/>
    </row>
    <row r="652">
      <c r="B652" s="52"/>
      <c r="C652" s="53"/>
      <c r="D652" s="53"/>
      <c r="E652" s="53"/>
      <c r="F652" s="53"/>
      <c r="G652" s="53"/>
      <c r="H652" s="53"/>
      <c r="I652" s="53"/>
      <c r="J652" s="53"/>
      <c r="K652" s="53"/>
    </row>
    <row r="653">
      <c r="B653" s="52"/>
      <c r="C653" s="53"/>
      <c r="D653" s="53"/>
      <c r="E653" s="53"/>
      <c r="F653" s="53"/>
      <c r="G653" s="53"/>
      <c r="H653" s="53"/>
      <c r="I653" s="53"/>
      <c r="J653" s="53"/>
      <c r="K653" s="53"/>
    </row>
    <row r="654">
      <c r="B654" s="52"/>
      <c r="C654" s="53"/>
      <c r="D654" s="53"/>
      <c r="E654" s="53"/>
      <c r="F654" s="53"/>
      <c r="G654" s="53"/>
      <c r="H654" s="53"/>
      <c r="I654" s="53"/>
      <c r="J654" s="53"/>
      <c r="K654" s="53"/>
    </row>
    <row r="655">
      <c r="B655" s="52"/>
      <c r="C655" s="53"/>
      <c r="D655" s="53"/>
      <c r="E655" s="53"/>
      <c r="F655" s="53"/>
      <c r="G655" s="53"/>
      <c r="H655" s="53"/>
      <c r="I655" s="53"/>
      <c r="J655" s="53"/>
      <c r="K655" s="53"/>
    </row>
    <row r="656">
      <c r="B656" s="52"/>
      <c r="C656" s="53"/>
      <c r="D656" s="53"/>
      <c r="E656" s="53"/>
      <c r="F656" s="53"/>
      <c r="G656" s="53"/>
      <c r="H656" s="53"/>
      <c r="I656" s="53"/>
      <c r="J656" s="53"/>
      <c r="K656" s="53"/>
    </row>
    <row r="657">
      <c r="B657" s="52"/>
      <c r="C657" s="53"/>
      <c r="D657" s="53"/>
      <c r="E657" s="53"/>
      <c r="F657" s="53"/>
      <c r="G657" s="53"/>
      <c r="H657" s="53"/>
      <c r="I657" s="53"/>
      <c r="J657" s="53"/>
      <c r="K657" s="53"/>
    </row>
    <row r="658">
      <c r="B658" s="52"/>
      <c r="C658" s="53"/>
      <c r="D658" s="53"/>
      <c r="E658" s="53"/>
      <c r="F658" s="53"/>
      <c r="G658" s="53"/>
      <c r="H658" s="53"/>
      <c r="I658" s="53"/>
      <c r="J658" s="53"/>
      <c r="K658" s="53"/>
    </row>
    <row r="659">
      <c r="B659" s="52"/>
      <c r="C659" s="53"/>
      <c r="D659" s="53"/>
      <c r="E659" s="53"/>
      <c r="F659" s="53"/>
      <c r="G659" s="53"/>
      <c r="H659" s="53"/>
      <c r="I659" s="53"/>
      <c r="J659" s="53"/>
      <c r="K659" s="53"/>
    </row>
    <row r="660">
      <c r="B660" s="52"/>
      <c r="C660" s="53"/>
      <c r="D660" s="53"/>
      <c r="E660" s="53"/>
      <c r="F660" s="53"/>
      <c r="G660" s="53"/>
      <c r="H660" s="53"/>
      <c r="I660" s="53"/>
      <c r="J660" s="53"/>
      <c r="K660" s="53"/>
    </row>
    <row r="661">
      <c r="B661" s="52"/>
      <c r="C661" s="53"/>
      <c r="D661" s="53"/>
      <c r="E661" s="53"/>
      <c r="F661" s="53"/>
      <c r="G661" s="53"/>
      <c r="H661" s="53"/>
      <c r="I661" s="53"/>
      <c r="J661" s="53"/>
      <c r="K661" s="53"/>
    </row>
    <row r="662">
      <c r="B662" s="52"/>
      <c r="C662" s="53"/>
      <c r="D662" s="53"/>
      <c r="E662" s="53"/>
      <c r="F662" s="53"/>
      <c r="G662" s="53"/>
      <c r="H662" s="53"/>
      <c r="I662" s="53"/>
      <c r="J662" s="53"/>
      <c r="K662" s="53"/>
    </row>
    <row r="663">
      <c r="B663" s="52"/>
      <c r="C663" s="53"/>
      <c r="D663" s="53"/>
      <c r="E663" s="53"/>
      <c r="F663" s="53"/>
      <c r="G663" s="53"/>
      <c r="H663" s="53"/>
      <c r="I663" s="53"/>
      <c r="J663" s="53"/>
      <c r="K663" s="53"/>
    </row>
    <row r="664">
      <c r="B664" s="52"/>
      <c r="C664" s="53"/>
      <c r="D664" s="53"/>
      <c r="E664" s="53"/>
      <c r="F664" s="53"/>
      <c r="G664" s="53"/>
      <c r="H664" s="53"/>
      <c r="I664" s="53"/>
      <c r="J664" s="53"/>
      <c r="K664" s="53"/>
    </row>
    <row r="665">
      <c r="B665" s="52"/>
      <c r="C665" s="53"/>
      <c r="D665" s="53"/>
      <c r="E665" s="53"/>
      <c r="F665" s="53"/>
      <c r="G665" s="53"/>
      <c r="H665" s="53"/>
      <c r="I665" s="53"/>
      <c r="J665" s="53"/>
      <c r="K665" s="53"/>
    </row>
    <row r="666">
      <c r="B666" s="52"/>
      <c r="C666" s="53"/>
      <c r="D666" s="53"/>
      <c r="E666" s="53"/>
      <c r="F666" s="53"/>
      <c r="G666" s="53"/>
      <c r="H666" s="53"/>
      <c r="I666" s="53"/>
      <c r="J666" s="53"/>
      <c r="K666" s="53"/>
    </row>
    <row r="667">
      <c r="B667" s="52"/>
      <c r="C667" s="53"/>
      <c r="D667" s="53"/>
      <c r="E667" s="53"/>
      <c r="F667" s="53"/>
      <c r="G667" s="53"/>
      <c r="H667" s="53"/>
      <c r="I667" s="53"/>
      <c r="J667" s="53"/>
      <c r="K667" s="53"/>
    </row>
    <row r="668">
      <c r="B668" s="52"/>
      <c r="C668" s="53"/>
      <c r="D668" s="53"/>
      <c r="E668" s="53"/>
      <c r="F668" s="53"/>
      <c r="G668" s="53"/>
      <c r="H668" s="53"/>
      <c r="I668" s="53"/>
      <c r="J668" s="53"/>
      <c r="K668" s="53"/>
    </row>
    <row r="669">
      <c r="B669" s="52"/>
      <c r="C669" s="53"/>
      <c r="D669" s="53"/>
      <c r="E669" s="53"/>
      <c r="F669" s="53"/>
      <c r="G669" s="53"/>
      <c r="H669" s="53"/>
      <c r="I669" s="53"/>
      <c r="J669" s="53"/>
      <c r="K669" s="53"/>
    </row>
    <row r="670">
      <c r="B670" s="52"/>
      <c r="C670" s="53"/>
      <c r="D670" s="53"/>
      <c r="E670" s="53"/>
      <c r="F670" s="53"/>
      <c r="G670" s="53"/>
      <c r="H670" s="53"/>
      <c r="I670" s="53"/>
      <c r="J670" s="53"/>
      <c r="K670" s="53"/>
    </row>
    <row r="671">
      <c r="B671" s="52"/>
      <c r="C671" s="53"/>
      <c r="D671" s="53"/>
      <c r="E671" s="53"/>
      <c r="F671" s="53"/>
      <c r="G671" s="53"/>
      <c r="H671" s="53"/>
      <c r="I671" s="53"/>
      <c r="J671" s="53"/>
      <c r="K671" s="53"/>
    </row>
    <row r="672">
      <c r="B672" s="52"/>
      <c r="C672" s="53"/>
      <c r="D672" s="53"/>
      <c r="E672" s="53"/>
      <c r="F672" s="53"/>
      <c r="G672" s="53"/>
      <c r="H672" s="53"/>
      <c r="I672" s="53"/>
      <c r="J672" s="53"/>
      <c r="K672" s="53"/>
    </row>
    <row r="673">
      <c r="B673" s="52"/>
      <c r="C673" s="53"/>
      <c r="D673" s="53"/>
      <c r="E673" s="53"/>
      <c r="F673" s="53"/>
      <c r="G673" s="53"/>
      <c r="H673" s="53"/>
      <c r="I673" s="53"/>
      <c r="J673" s="53"/>
      <c r="K673" s="53"/>
    </row>
    <row r="674">
      <c r="B674" s="52"/>
      <c r="C674" s="53"/>
      <c r="D674" s="53"/>
      <c r="E674" s="53"/>
      <c r="F674" s="53"/>
      <c r="G674" s="53"/>
      <c r="H674" s="53"/>
      <c r="I674" s="53"/>
      <c r="J674" s="53"/>
      <c r="K674" s="53"/>
    </row>
    <row r="675">
      <c r="B675" s="52"/>
      <c r="C675" s="53"/>
      <c r="D675" s="53"/>
      <c r="E675" s="53"/>
      <c r="F675" s="53"/>
      <c r="G675" s="53"/>
      <c r="H675" s="53"/>
      <c r="I675" s="53"/>
      <c r="J675" s="53"/>
      <c r="K675" s="53"/>
    </row>
    <row r="676">
      <c r="B676" s="52"/>
      <c r="C676" s="53"/>
      <c r="D676" s="53"/>
      <c r="E676" s="53"/>
      <c r="F676" s="53"/>
      <c r="G676" s="53"/>
      <c r="H676" s="53"/>
      <c r="I676" s="53"/>
      <c r="J676" s="53"/>
      <c r="K676" s="53"/>
    </row>
    <row r="677">
      <c r="B677" s="52"/>
      <c r="C677" s="53"/>
      <c r="D677" s="53"/>
      <c r="E677" s="53"/>
      <c r="F677" s="53"/>
      <c r="G677" s="53"/>
      <c r="H677" s="53"/>
      <c r="I677" s="53"/>
      <c r="J677" s="53"/>
      <c r="K677" s="53"/>
    </row>
    <row r="678">
      <c r="B678" s="52"/>
      <c r="C678" s="53"/>
      <c r="D678" s="53"/>
      <c r="E678" s="53"/>
      <c r="F678" s="53"/>
      <c r="G678" s="53"/>
      <c r="H678" s="53"/>
      <c r="I678" s="53"/>
      <c r="J678" s="53"/>
      <c r="K678" s="53"/>
    </row>
    <row r="679">
      <c r="B679" s="52"/>
      <c r="C679" s="53"/>
      <c r="D679" s="53"/>
      <c r="E679" s="53"/>
      <c r="F679" s="53"/>
      <c r="G679" s="53"/>
      <c r="H679" s="53"/>
      <c r="I679" s="53"/>
      <c r="J679" s="53"/>
      <c r="K679" s="53"/>
    </row>
    <row r="680">
      <c r="B680" s="52"/>
      <c r="C680" s="53"/>
      <c r="D680" s="53"/>
      <c r="E680" s="53"/>
      <c r="F680" s="53"/>
      <c r="G680" s="53"/>
      <c r="H680" s="53"/>
      <c r="I680" s="53"/>
      <c r="J680" s="53"/>
      <c r="K680" s="53"/>
    </row>
    <row r="681">
      <c r="B681" s="52"/>
      <c r="C681" s="53"/>
      <c r="D681" s="53"/>
      <c r="E681" s="53"/>
      <c r="F681" s="53"/>
      <c r="G681" s="53"/>
      <c r="H681" s="53"/>
      <c r="I681" s="53"/>
      <c r="J681" s="53"/>
      <c r="K681" s="53"/>
    </row>
    <row r="682">
      <c r="B682" s="52"/>
      <c r="C682" s="53"/>
      <c r="D682" s="53"/>
      <c r="E682" s="53"/>
      <c r="F682" s="53"/>
      <c r="G682" s="53"/>
      <c r="H682" s="53"/>
      <c r="I682" s="53"/>
      <c r="J682" s="53"/>
      <c r="K682" s="53"/>
    </row>
    <row r="683">
      <c r="B683" s="52"/>
      <c r="C683" s="53"/>
      <c r="D683" s="53"/>
      <c r="E683" s="53"/>
      <c r="F683" s="53"/>
      <c r="G683" s="53"/>
      <c r="H683" s="53"/>
      <c r="I683" s="53"/>
      <c r="J683" s="53"/>
      <c r="K683" s="53"/>
    </row>
    <row r="684">
      <c r="B684" s="52"/>
      <c r="C684" s="53"/>
      <c r="D684" s="53"/>
      <c r="E684" s="53"/>
      <c r="F684" s="53"/>
      <c r="G684" s="53"/>
      <c r="H684" s="53"/>
      <c r="I684" s="53"/>
      <c r="J684" s="53"/>
      <c r="K684" s="53"/>
    </row>
    <row r="685">
      <c r="B685" s="52"/>
      <c r="C685" s="53"/>
      <c r="D685" s="53"/>
      <c r="E685" s="53"/>
      <c r="F685" s="53"/>
      <c r="G685" s="53"/>
      <c r="H685" s="53"/>
      <c r="I685" s="53"/>
      <c r="J685" s="53"/>
      <c r="K685" s="53"/>
    </row>
    <row r="686">
      <c r="B686" s="52"/>
      <c r="C686" s="53"/>
      <c r="D686" s="53"/>
      <c r="E686" s="53"/>
      <c r="F686" s="53"/>
      <c r="G686" s="53"/>
      <c r="H686" s="53"/>
      <c r="I686" s="53"/>
      <c r="J686" s="53"/>
      <c r="K686" s="53"/>
    </row>
    <row r="687">
      <c r="B687" s="52"/>
      <c r="C687" s="53"/>
      <c r="D687" s="53"/>
      <c r="E687" s="53"/>
      <c r="F687" s="53"/>
      <c r="G687" s="53"/>
      <c r="H687" s="53"/>
      <c r="I687" s="53"/>
      <c r="J687" s="53"/>
      <c r="K687" s="53"/>
    </row>
    <row r="688">
      <c r="B688" s="52"/>
      <c r="C688" s="53"/>
      <c r="D688" s="53"/>
      <c r="E688" s="53"/>
      <c r="F688" s="53"/>
      <c r="G688" s="53"/>
      <c r="H688" s="53"/>
      <c r="I688" s="53"/>
      <c r="J688" s="53"/>
      <c r="K688" s="53"/>
    </row>
    <row r="689">
      <c r="B689" s="52"/>
      <c r="C689" s="53"/>
      <c r="D689" s="53"/>
      <c r="E689" s="53"/>
      <c r="F689" s="53"/>
      <c r="G689" s="53"/>
      <c r="H689" s="53"/>
      <c r="I689" s="53"/>
      <c r="J689" s="53"/>
      <c r="K689" s="53"/>
    </row>
    <row r="690">
      <c r="B690" s="52"/>
      <c r="C690" s="53"/>
      <c r="D690" s="53"/>
      <c r="E690" s="53"/>
      <c r="F690" s="53"/>
      <c r="G690" s="53"/>
      <c r="H690" s="53"/>
      <c r="I690" s="53"/>
      <c r="J690" s="53"/>
      <c r="K690" s="53"/>
    </row>
    <row r="691">
      <c r="B691" s="52"/>
      <c r="C691" s="53"/>
      <c r="D691" s="53"/>
      <c r="E691" s="53"/>
      <c r="F691" s="53"/>
      <c r="G691" s="53"/>
      <c r="H691" s="53"/>
      <c r="I691" s="53"/>
      <c r="J691" s="53"/>
      <c r="K691" s="53"/>
    </row>
    <row r="692">
      <c r="B692" s="52"/>
      <c r="C692" s="53"/>
      <c r="D692" s="53"/>
      <c r="E692" s="53"/>
      <c r="F692" s="53"/>
      <c r="G692" s="53"/>
      <c r="H692" s="53"/>
      <c r="I692" s="53"/>
      <c r="J692" s="53"/>
      <c r="K692" s="53"/>
    </row>
    <row r="693">
      <c r="B693" s="52"/>
      <c r="C693" s="53"/>
      <c r="D693" s="53"/>
      <c r="E693" s="53"/>
      <c r="F693" s="53"/>
      <c r="G693" s="53"/>
      <c r="H693" s="53"/>
      <c r="I693" s="53"/>
      <c r="J693" s="53"/>
      <c r="K693" s="53"/>
    </row>
    <row r="694">
      <c r="B694" s="52"/>
      <c r="C694" s="53"/>
      <c r="D694" s="53"/>
      <c r="E694" s="53"/>
      <c r="F694" s="53"/>
      <c r="G694" s="53"/>
      <c r="H694" s="53"/>
      <c r="I694" s="53"/>
      <c r="J694" s="53"/>
      <c r="K694" s="53"/>
    </row>
    <row r="695">
      <c r="B695" s="52"/>
      <c r="C695" s="53"/>
      <c r="D695" s="53"/>
      <c r="E695" s="53"/>
      <c r="F695" s="53"/>
      <c r="G695" s="53"/>
      <c r="H695" s="53"/>
      <c r="I695" s="53"/>
      <c r="J695" s="53"/>
      <c r="K695" s="53"/>
    </row>
    <row r="696">
      <c r="B696" s="52"/>
      <c r="C696" s="53"/>
      <c r="D696" s="53"/>
      <c r="E696" s="53"/>
      <c r="F696" s="53"/>
      <c r="G696" s="53"/>
      <c r="H696" s="53"/>
      <c r="I696" s="53"/>
      <c r="J696" s="53"/>
      <c r="K696" s="53"/>
    </row>
    <row r="697">
      <c r="B697" s="52"/>
      <c r="C697" s="53"/>
      <c r="D697" s="53"/>
      <c r="E697" s="53"/>
      <c r="F697" s="53"/>
      <c r="G697" s="53"/>
      <c r="H697" s="53"/>
      <c r="I697" s="53"/>
      <c r="J697" s="53"/>
      <c r="K697" s="53"/>
    </row>
    <row r="698">
      <c r="B698" s="52"/>
      <c r="C698" s="53"/>
      <c r="D698" s="53"/>
      <c r="E698" s="53"/>
      <c r="F698" s="53"/>
      <c r="G698" s="53"/>
      <c r="H698" s="53"/>
      <c r="I698" s="53"/>
      <c r="J698" s="53"/>
      <c r="K698" s="53"/>
    </row>
    <row r="699">
      <c r="B699" s="52"/>
      <c r="C699" s="53"/>
      <c r="D699" s="53"/>
      <c r="E699" s="53"/>
      <c r="F699" s="53"/>
      <c r="G699" s="53"/>
      <c r="H699" s="53"/>
      <c r="I699" s="53"/>
      <c r="J699" s="53"/>
      <c r="K699" s="53"/>
    </row>
    <row r="700">
      <c r="B700" s="52"/>
      <c r="C700" s="53"/>
      <c r="D700" s="53"/>
      <c r="E700" s="53"/>
      <c r="F700" s="53"/>
      <c r="G700" s="53"/>
      <c r="H700" s="53"/>
      <c r="I700" s="53"/>
      <c r="J700" s="53"/>
      <c r="K700" s="53"/>
    </row>
    <row r="701">
      <c r="B701" s="52"/>
      <c r="C701" s="53"/>
      <c r="D701" s="53"/>
      <c r="E701" s="53"/>
      <c r="F701" s="53"/>
      <c r="G701" s="53"/>
      <c r="H701" s="53"/>
      <c r="I701" s="53"/>
      <c r="J701" s="53"/>
      <c r="K701" s="53"/>
    </row>
    <row r="702">
      <c r="B702" s="52"/>
      <c r="C702" s="53"/>
      <c r="D702" s="53"/>
      <c r="E702" s="53"/>
      <c r="F702" s="53"/>
      <c r="G702" s="53"/>
      <c r="H702" s="53"/>
      <c r="I702" s="53"/>
      <c r="J702" s="53"/>
      <c r="K702" s="53"/>
    </row>
    <row r="703">
      <c r="B703" s="52"/>
      <c r="C703" s="53"/>
      <c r="D703" s="53"/>
      <c r="E703" s="53"/>
      <c r="F703" s="53"/>
      <c r="G703" s="53"/>
      <c r="H703" s="53"/>
      <c r="I703" s="53"/>
      <c r="J703" s="53"/>
      <c r="K703" s="53"/>
    </row>
    <row r="704">
      <c r="B704" s="52"/>
      <c r="C704" s="53"/>
      <c r="D704" s="53"/>
      <c r="E704" s="53"/>
      <c r="F704" s="53"/>
      <c r="G704" s="53"/>
      <c r="H704" s="53"/>
      <c r="I704" s="53"/>
      <c r="J704" s="53"/>
      <c r="K704" s="53"/>
    </row>
    <row r="705">
      <c r="B705" s="52"/>
      <c r="C705" s="53"/>
      <c r="D705" s="53"/>
      <c r="E705" s="53"/>
      <c r="F705" s="53"/>
      <c r="G705" s="53"/>
      <c r="H705" s="53"/>
      <c r="I705" s="53"/>
      <c r="J705" s="53"/>
      <c r="K705" s="53"/>
    </row>
    <row r="706">
      <c r="B706" s="52"/>
      <c r="C706" s="53"/>
      <c r="D706" s="53"/>
      <c r="E706" s="53"/>
      <c r="F706" s="53"/>
      <c r="G706" s="53"/>
      <c r="H706" s="53"/>
      <c r="I706" s="53"/>
      <c r="J706" s="53"/>
      <c r="K706" s="53"/>
    </row>
    <row r="707">
      <c r="B707" s="52"/>
      <c r="C707" s="53"/>
      <c r="D707" s="53"/>
      <c r="E707" s="53"/>
      <c r="F707" s="53"/>
      <c r="G707" s="53"/>
      <c r="H707" s="53"/>
      <c r="I707" s="53"/>
      <c r="J707" s="53"/>
      <c r="K707" s="53"/>
    </row>
    <row r="708">
      <c r="B708" s="52"/>
      <c r="C708" s="53"/>
      <c r="D708" s="53"/>
      <c r="E708" s="53"/>
      <c r="F708" s="53"/>
      <c r="G708" s="53"/>
      <c r="H708" s="53"/>
      <c r="I708" s="53"/>
      <c r="J708" s="53"/>
      <c r="K708" s="53"/>
    </row>
    <row r="709">
      <c r="B709" s="52"/>
      <c r="C709" s="53"/>
      <c r="D709" s="53"/>
      <c r="E709" s="53"/>
      <c r="F709" s="53"/>
      <c r="G709" s="53"/>
      <c r="H709" s="53"/>
      <c r="I709" s="53"/>
      <c r="J709" s="53"/>
      <c r="K709" s="53"/>
    </row>
    <row r="710">
      <c r="B710" s="52"/>
      <c r="C710" s="53"/>
      <c r="D710" s="53"/>
      <c r="E710" s="53"/>
      <c r="F710" s="53"/>
      <c r="G710" s="53"/>
      <c r="H710" s="53"/>
      <c r="I710" s="53"/>
      <c r="J710" s="53"/>
      <c r="K710" s="53"/>
    </row>
    <row r="711">
      <c r="B711" s="52"/>
      <c r="C711" s="53"/>
      <c r="D711" s="53"/>
      <c r="E711" s="53"/>
      <c r="F711" s="53"/>
      <c r="G711" s="53"/>
      <c r="H711" s="53"/>
      <c r="I711" s="53"/>
      <c r="J711" s="53"/>
      <c r="K711" s="53"/>
    </row>
    <row r="712">
      <c r="B712" s="52"/>
      <c r="C712" s="53"/>
      <c r="D712" s="53"/>
      <c r="E712" s="53"/>
      <c r="F712" s="53"/>
      <c r="G712" s="53"/>
      <c r="H712" s="53"/>
      <c r="I712" s="53"/>
      <c r="J712" s="53"/>
      <c r="K712" s="53"/>
    </row>
    <row r="713">
      <c r="B713" s="52"/>
      <c r="C713" s="53"/>
      <c r="D713" s="53"/>
      <c r="E713" s="53"/>
      <c r="F713" s="53"/>
      <c r="G713" s="53"/>
      <c r="H713" s="53"/>
      <c r="I713" s="53"/>
      <c r="J713" s="53"/>
      <c r="K713" s="53"/>
    </row>
    <row r="714">
      <c r="B714" s="52"/>
      <c r="C714" s="53"/>
      <c r="D714" s="53"/>
      <c r="E714" s="53"/>
      <c r="F714" s="53"/>
      <c r="G714" s="53"/>
      <c r="H714" s="53"/>
      <c r="I714" s="53"/>
      <c r="J714" s="53"/>
      <c r="K714" s="53"/>
    </row>
    <row r="715">
      <c r="B715" s="52"/>
      <c r="C715" s="53"/>
      <c r="D715" s="53"/>
      <c r="E715" s="53"/>
      <c r="F715" s="53"/>
      <c r="G715" s="53"/>
      <c r="H715" s="53"/>
      <c r="I715" s="53"/>
      <c r="J715" s="53"/>
      <c r="K715" s="53"/>
    </row>
    <row r="716">
      <c r="B716" s="52"/>
      <c r="C716" s="53"/>
      <c r="D716" s="53"/>
      <c r="E716" s="53"/>
      <c r="F716" s="53"/>
      <c r="G716" s="53"/>
      <c r="H716" s="53"/>
      <c r="I716" s="53"/>
      <c r="J716" s="53"/>
      <c r="K716" s="53"/>
    </row>
    <row r="717">
      <c r="B717" s="52"/>
      <c r="C717" s="53"/>
      <c r="D717" s="53"/>
      <c r="E717" s="53"/>
      <c r="F717" s="53"/>
      <c r="G717" s="53"/>
      <c r="H717" s="53"/>
      <c r="I717" s="53"/>
      <c r="J717" s="53"/>
      <c r="K717" s="53"/>
    </row>
    <row r="718">
      <c r="B718" s="52"/>
      <c r="C718" s="53"/>
      <c r="D718" s="53"/>
      <c r="E718" s="53"/>
      <c r="F718" s="53"/>
      <c r="G718" s="53"/>
      <c r="H718" s="53"/>
      <c r="I718" s="53"/>
      <c r="J718" s="53"/>
      <c r="K718" s="53"/>
    </row>
    <row r="719">
      <c r="B719" s="52"/>
      <c r="C719" s="53"/>
      <c r="D719" s="53"/>
      <c r="E719" s="53"/>
      <c r="F719" s="53"/>
      <c r="G719" s="53"/>
      <c r="H719" s="53"/>
      <c r="I719" s="53"/>
      <c r="J719" s="53"/>
      <c r="K719" s="53"/>
    </row>
    <row r="720">
      <c r="B720" s="52"/>
      <c r="C720" s="53"/>
      <c r="D720" s="53"/>
      <c r="E720" s="53"/>
      <c r="F720" s="53"/>
      <c r="G720" s="53"/>
      <c r="H720" s="53"/>
      <c r="I720" s="53"/>
      <c r="J720" s="53"/>
      <c r="K720" s="53"/>
    </row>
    <row r="721">
      <c r="B721" s="52"/>
      <c r="C721" s="53"/>
      <c r="D721" s="53"/>
      <c r="E721" s="53"/>
      <c r="F721" s="53"/>
      <c r="G721" s="53"/>
      <c r="H721" s="53"/>
      <c r="I721" s="53"/>
      <c r="J721" s="53"/>
      <c r="K721" s="53"/>
    </row>
    <row r="722">
      <c r="B722" s="52"/>
      <c r="C722" s="53"/>
      <c r="D722" s="53"/>
      <c r="E722" s="53"/>
      <c r="F722" s="53"/>
      <c r="G722" s="53"/>
      <c r="H722" s="53"/>
      <c r="I722" s="53"/>
      <c r="J722" s="53"/>
      <c r="K722" s="53"/>
    </row>
    <row r="723">
      <c r="B723" s="52"/>
      <c r="C723" s="53"/>
      <c r="D723" s="53"/>
      <c r="E723" s="53"/>
      <c r="F723" s="53"/>
      <c r="G723" s="53"/>
      <c r="H723" s="53"/>
      <c r="I723" s="53"/>
      <c r="J723" s="53"/>
      <c r="K723" s="53"/>
    </row>
    <row r="724">
      <c r="B724" s="52"/>
      <c r="C724" s="53"/>
      <c r="D724" s="53"/>
      <c r="E724" s="53"/>
      <c r="F724" s="53"/>
      <c r="G724" s="53"/>
      <c r="H724" s="53"/>
      <c r="I724" s="53"/>
      <c r="J724" s="53"/>
      <c r="K724" s="53"/>
    </row>
    <row r="725">
      <c r="B725" s="52"/>
      <c r="C725" s="53"/>
      <c r="D725" s="53"/>
      <c r="E725" s="53"/>
      <c r="F725" s="53"/>
      <c r="G725" s="53"/>
      <c r="H725" s="53"/>
      <c r="I725" s="53"/>
      <c r="J725" s="53"/>
      <c r="K725" s="53"/>
    </row>
    <row r="726">
      <c r="B726" s="52"/>
      <c r="C726" s="53"/>
      <c r="D726" s="53"/>
      <c r="E726" s="53"/>
      <c r="F726" s="53"/>
      <c r="G726" s="53"/>
      <c r="H726" s="53"/>
      <c r="I726" s="53"/>
      <c r="J726" s="53"/>
      <c r="K726" s="53"/>
    </row>
    <row r="727">
      <c r="B727" s="52"/>
      <c r="C727" s="53"/>
      <c r="D727" s="53"/>
      <c r="E727" s="53"/>
      <c r="F727" s="53"/>
      <c r="G727" s="53"/>
      <c r="H727" s="53"/>
      <c r="I727" s="53"/>
      <c r="J727" s="53"/>
      <c r="K727" s="53"/>
    </row>
    <row r="728">
      <c r="B728" s="52"/>
      <c r="C728" s="53"/>
      <c r="D728" s="53"/>
      <c r="E728" s="53"/>
      <c r="F728" s="53"/>
      <c r="G728" s="53"/>
      <c r="H728" s="53"/>
      <c r="I728" s="53"/>
      <c r="J728" s="53"/>
      <c r="K728" s="53"/>
    </row>
    <row r="729">
      <c r="B729" s="52"/>
      <c r="C729" s="53"/>
      <c r="D729" s="53"/>
      <c r="E729" s="53"/>
      <c r="F729" s="53"/>
      <c r="G729" s="53"/>
      <c r="H729" s="53"/>
      <c r="I729" s="53"/>
      <c r="J729" s="53"/>
      <c r="K729" s="53"/>
    </row>
    <row r="730">
      <c r="B730" s="52"/>
      <c r="C730" s="53"/>
      <c r="D730" s="53"/>
      <c r="E730" s="53"/>
      <c r="F730" s="53"/>
      <c r="G730" s="53"/>
      <c r="H730" s="53"/>
      <c r="I730" s="53"/>
      <c r="J730" s="53"/>
      <c r="K730" s="53"/>
    </row>
    <row r="731">
      <c r="B731" s="52"/>
      <c r="C731" s="53"/>
      <c r="D731" s="53"/>
      <c r="E731" s="53"/>
      <c r="F731" s="53"/>
      <c r="G731" s="53"/>
      <c r="H731" s="53"/>
      <c r="I731" s="53"/>
      <c r="J731" s="53"/>
      <c r="K731" s="53"/>
    </row>
    <row r="732">
      <c r="B732" s="52"/>
      <c r="C732" s="53"/>
      <c r="D732" s="53"/>
      <c r="E732" s="53"/>
      <c r="F732" s="53"/>
      <c r="G732" s="53"/>
      <c r="H732" s="53"/>
      <c r="I732" s="53"/>
      <c r="J732" s="53"/>
      <c r="K732" s="53"/>
    </row>
    <row r="733">
      <c r="B733" s="52"/>
      <c r="C733" s="53"/>
      <c r="D733" s="53"/>
      <c r="E733" s="53"/>
      <c r="F733" s="53"/>
      <c r="G733" s="53"/>
      <c r="H733" s="53"/>
      <c r="I733" s="53"/>
      <c r="J733" s="53"/>
      <c r="K733" s="53"/>
    </row>
    <row r="734">
      <c r="B734" s="52"/>
      <c r="C734" s="53"/>
      <c r="D734" s="53"/>
      <c r="E734" s="53"/>
      <c r="F734" s="53"/>
      <c r="G734" s="53"/>
      <c r="H734" s="53"/>
      <c r="I734" s="53"/>
      <c r="J734" s="53"/>
      <c r="K734" s="53"/>
    </row>
    <row r="735">
      <c r="B735" s="52"/>
      <c r="C735" s="53"/>
      <c r="D735" s="53"/>
      <c r="E735" s="53"/>
      <c r="F735" s="53"/>
      <c r="G735" s="53"/>
      <c r="H735" s="53"/>
      <c r="I735" s="53"/>
      <c r="J735" s="53"/>
      <c r="K735" s="53"/>
    </row>
    <row r="736">
      <c r="B736" s="52"/>
      <c r="C736" s="53"/>
      <c r="D736" s="53"/>
      <c r="E736" s="53"/>
      <c r="F736" s="53"/>
      <c r="G736" s="53"/>
      <c r="H736" s="53"/>
      <c r="I736" s="53"/>
      <c r="J736" s="53"/>
      <c r="K736" s="53"/>
    </row>
    <row r="737">
      <c r="B737" s="52"/>
      <c r="C737" s="53"/>
      <c r="D737" s="53"/>
      <c r="E737" s="53"/>
      <c r="F737" s="53"/>
      <c r="G737" s="53"/>
      <c r="H737" s="53"/>
      <c r="I737" s="53"/>
      <c r="J737" s="53"/>
      <c r="K737" s="53"/>
    </row>
    <row r="738">
      <c r="B738" s="52"/>
      <c r="C738" s="53"/>
      <c r="D738" s="53"/>
      <c r="E738" s="53"/>
      <c r="F738" s="53"/>
      <c r="G738" s="53"/>
      <c r="H738" s="53"/>
      <c r="I738" s="53"/>
      <c r="J738" s="53"/>
      <c r="K738" s="53"/>
    </row>
    <row r="739">
      <c r="B739" s="52"/>
      <c r="C739" s="53"/>
      <c r="D739" s="53"/>
      <c r="E739" s="53"/>
      <c r="F739" s="53"/>
      <c r="G739" s="53"/>
      <c r="H739" s="53"/>
      <c r="I739" s="53"/>
      <c r="J739" s="53"/>
      <c r="K739" s="53"/>
    </row>
    <row r="740">
      <c r="B740" s="52"/>
      <c r="C740" s="53"/>
      <c r="D740" s="53"/>
      <c r="E740" s="53"/>
      <c r="F740" s="53"/>
      <c r="G740" s="53"/>
      <c r="H740" s="53"/>
      <c r="I740" s="53"/>
      <c r="J740" s="53"/>
      <c r="K740" s="53"/>
    </row>
    <row r="741">
      <c r="B741" s="52"/>
      <c r="C741" s="53"/>
      <c r="D741" s="53"/>
      <c r="E741" s="53"/>
      <c r="F741" s="53"/>
      <c r="G741" s="53"/>
      <c r="H741" s="53"/>
      <c r="I741" s="53"/>
      <c r="J741" s="53"/>
      <c r="K741" s="53"/>
    </row>
    <row r="742">
      <c r="B742" s="52"/>
      <c r="C742" s="53"/>
      <c r="D742" s="53"/>
      <c r="E742" s="53"/>
      <c r="F742" s="53"/>
      <c r="G742" s="53"/>
      <c r="H742" s="53"/>
      <c r="I742" s="53"/>
      <c r="J742" s="53"/>
      <c r="K742" s="53"/>
    </row>
    <row r="743">
      <c r="B743" s="52"/>
      <c r="C743" s="53"/>
      <c r="D743" s="53"/>
      <c r="E743" s="53"/>
      <c r="F743" s="53"/>
      <c r="G743" s="53"/>
      <c r="H743" s="53"/>
      <c r="I743" s="53"/>
      <c r="J743" s="53"/>
      <c r="K743" s="53"/>
    </row>
    <row r="744">
      <c r="B744" s="52"/>
      <c r="C744" s="53"/>
      <c r="D744" s="53"/>
      <c r="E744" s="53"/>
      <c r="F744" s="53"/>
      <c r="G744" s="53"/>
      <c r="H744" s="53"/>
      <c r="I744" s="53"/>
      <c r="J744" s="53"/>
      <c r="K744" s="53"/>
    </row>
    <row r="745">
      <c r="B745" s="52"/>
      <c r="C745" s="53"/>
      <c r="D745" s="53"/>
      <c r="E745" s="53"/>
      <c r="F745" s="53"/>
      <c r="G745" s="53"/>
      <c r="H745" s="53"/>
      <c r="I745" s="53"/>
      <c r="J745" s="53"/>
      <c r="K745" s="53"/>
    </row>
    <row r="746">
      <c r="B746" s="52"/>
      <c r="C746" s="53"/>
      <c r="D746" s="53"/>
      <c r="E746" s="53"/>
      <c r="F746" s="53"/>
      <c r="G746" s="53"/>
      <c r="H746" s="53"/>
      <c r="I746" s="53"/>
      <c r="J746" s="53"/>
      <c r="K746" s="53"/>
    </row>
    <row r="747">
      <c r="B747" s="52"/>
      <c r="C747" s="53"/>
      <c r="D747" s="53"/>
      <c r="E747" s="53"/>
      <c r="F747" s="53"/>
      <c r="G747" s="53"/>
      <c r="H747" s="53"/>
      <c r="I747" s="53"/>
      <c r="J747" s="53"/>
      <c r="K747" s="53"/>
    </row>
    <row r="748">
      <c r="B748" s="52"/>
      <c r="C748" s="53"/>
      <c r="D748" s="53"/>
      <c r="E748" s="53"/>
      <c r="F748" s="53"/>
      <c r="G748" s="53"/>
      <c r="H748" s="53"/>
      <c r="I748" s="53"/>
      <c r="J748" s="53"/>
      <c r="K748" s="53"/>
    </row>
    <row r="749">
      <c r="B749" s="52"/>
      <c r="C749" s="53"/>
      <c r="D749" s="53"/>
      <c r="E749" s="53"/>
      <c r="F749" s="53"/>
      <c r="G749" s="53"/>
      <c r="H749" s="53"/>
      <c r="I749" s="53"/>
      <c r="J749" s="53"/>
      <c r="K749" s="53"/>
    </row>
    <row r="750">
      <c r="B750" s="52"/>
      <c r="C750" s="53"/>
      <c r="D750" s="53"/>
      <c r="E750" s="53"/>
      <c r="F750" s="53"/>
      <c r="G750" s="53"/>
      <c r="H750" s="53"/>
      <c r="I750" s="53"/>
      <c r="J750" s="53"/>
      <c r="K750" s="53"/>
    </row>
    <row r="751">
      <c r="B751" s="52"/>
      <c r="C751" s="53"/>
      <c r="D751" s="53"/>
      <c r="E751" s="53"/>
      <c r="F751" s="53"/>
      <c r="G751" s="53"/>
      <c r="H751" s="53"/>
      <c r="I751" s="53"/>
      <c r="J751" s="53"/>
      <c r="K751" s="53"/>
    </row>
    <row r="752">
      <c r="B752" s="52"/>
      <c r="C752" s="53"/>
      <c r="D752" s="53"/>
      <c r="E752" s="53"/>
      <c r="F752" s="53"/>
      <c r="G752" s="53"/>
      <c r="H752" s="53"/>
      <c r="I752" s="53"/>
      <c r="J752" s="53"/>
      <c r="K752" s="53"/>
    </row>
    <row r="753">
      <c r="B753" s="52"/>
      <c r="C753" s="53"/>
      <c r="D753" s="53"/>
      <c r="E753" s="53"/>
      <c r="F753" s="53"/>
      <c r="G753" s="53"/>
      <c r="H753" s="53"/>
      <c r="I753" s="53"/>
      <c r="J753" s="53"/>
      <c r="K753" s="53"/>
    </row>
    <row r="754">
      <c r="B754" s="52"/>
      <c r="C754" s="53"/>
      <c r="D754" s="53"/>
      <c r="E754" s="53"/>
      <c r="F754" s="53"/>
      <c r="G754" s="53"/>
      <c r="H754" s="53"/>
      <c r="I754" s="53"/>
      <c r="J754" s="53"/>
      <c r="K754" s="53"/>
    </row>
    <row r="755">
      <c r="B755" s="52"/>
      <c r="C755" s="53"/>
      <c r="D755" s="53"/>
      <c r="E755" s="53"/>
      <c r="F755" s="53"/>
      <c r="G755" s="53"/>
      <c r="H755" s="53"/>
      <c r="I755" s="53"/>
      <c r="J755" s="53"/>
      <c r="K755" s="53"/>
    </row>
    <row r="756">
      <c r="B756" s="52"/>
      <c r="C756" s="53"/>
      <c r="D756" s="53"/>
      <c r="E756" s="53"/>
      <c r="F756" s="53"/>
      <c r="G756" s="53"/>
      <c r="H756" s="53"/>
      <c r="I756" s="53"/>
      <c r="J756" s="53"/>
      <c r="K756" s="53"/>
    </row>
    <row r="757">
      <c r="B757" s="52"/>
      <c r="C757" s="53"/>
      <c r="D757" s="53"/>
      <c r="E757" s="53"/>
      <c r="F757" s="53"/>
      <c r="G757" s="53"/>
      <c r="H757" s="53"/>
      <c r="I757" s="53"/>
      <c r="J757" s="53"/>
      <c r="K757" s="53"/>
    </row>
    <row r="758">
      <c r="B758" s="52"/>
      <c r="C758" s="53"/>
      <c r="D758" s="53"/>
      <c r="E758" s="53"/>
      <c r="F758" s="53"/>
      <c r="G758" s="53"/>
      <c r="H758" s="53"/>
      <c r="I758" s="53"/>
      <c r="J758" s="53"/>
      <c r="K758" s="53"/>
    </row>
    <row r="759">
      <c r="B759" s="52"/>
      <c r="C759" s="53"/>
      <c r="D759" s="53"/>
      <c r="E759" s="53"/>
      <c r="F759" s="53"/>
      <c r="G759" s="53"/>
      <c r="H759" s="53"/>
      <c r="I759" s="53"/>
      <c r="J759" s="53"/>
      <c r="K759" s="53"/>
    </row>
    <row r="760">
      <c r="B760" s="52"/>
      <c r="C760" s="53"/>
      <c r="D760" s="53"/>
      <c r="E760" s="53"/>
      <c r="F760" s="53"/>
      <c r="G760" s="53"/>
      <c r="H760" s="53"/>
      <c r="I760" s="53"/>
      <c r="J760" s="53"/>
      <c r="K760" s="53"/>
    </row>
    <row r="761">
      <c r="B761" s="52"/>
      <c r="C761" s="53"/>
      <c r="D761" s="53"/>
      <c r="E761" s="53"/>
      <c r="F761" s="53"/>
      <c r="G761" s="53"/>
      <c r="H761" s="53"/>
      <c r="I761" s="53"/>
      <c r="J761" s="53"/>
      <c r="K761" s="53"/>
    </row>
    <row r="762">
      <c r="B762" s="52"/>
      <c r="C762" s="53"/>
      <c r="D762" s="53"/>
      <c r="E762" s="53"/>
      <c r="F762" s="53"/>
      <c r="G762" s="53"/>
      <c r="H762" s="53"/>
      <c r="I762" s="53"/>
      <c r="J762" s="53"/>
      <c r="K762" s="53"/>
    </row>
    <row r="763">
      <c r="B763" s="52"/>
      <c r="C763" s="53"/>
      <c r="D763" s="53"/>
      <c r="E763" s="53"/>
      <c r="F763" s="53"/>
      <c r="G763" s="53"/>
      <c r="H763" s="53"/>
      <c r="I763" s="53"/>
      <c r="J763" s="53"/>
      <c r="K763" s="53"/>
    </row>
    <row r="764">
      <c r="B764" s="52"/>
      <c r="C764" s="53"/>
      <c r="D764" s="53"/>
      <c r="E764" s="53"/>
      <c r="F764" s="53"/>
      <c r="G764" s="53"/>
      <c r="H764" s="53"/>
      <c r="I764" s="53"/>
      <c r="J764" s="53"/>
      <c r="K764" s="53"/>
    </row>
    <row r="765">
      <c r="B765" s="52"/>
      <c r="C765" s="53"/>
      <c r="D765" s="53"/>
      <c r="E765" s="53"/>
      <c r="F765" s="53"/>
      <c r="G765" s="53"/>
      <c r="H765" s="53"/>
      <c r="I765" s="53"/>
      <c r="J765" s="53"/>
      <c r="K765" s="53"/>
    </row>
    <row r="766">
      <c r="B766" s="52"/>
      <c r="C766" s="53"/>
      <c r="D766" s="53"/>
      <c r="E766" s="53"/>
      <c r="F766" s="53"/>
      <c r="G766" s="53"/>
      <c r="H766" s="53"/>
      <c r="I766" s="53"/>
      <c r="J766" s="53"/>
      <c r="K766" s="53"/>
    </row>
    <row r="767">
      <c r="B767" s="52"/>
      <c r="C767" s="53"/>
      <c r="D767" s="53"/>
      <c r="E767" s="53"/>
      <c r="F767" s="53"/>
      <c r="G767" s="53"/>
      <c r="H767" s="53"/>
      <c r="I767" s="53"/>
      <c r="J767" s="53"/>
      <c r="K767" s="53"/>
    </row>
    <row r="768">
      <c r="B768" s="52"/>
      <c r="C768" s="53"/>
      <c r="D768" s="53"/>
      <c r="E768" s="53"/>
      <c r="F768" s="53"/>
      <c r="G768" s="53"/>
      <c r="H768" s="53"/>
      <c r="I768" s="53"/>
      <c r="J768" s="53"/>
      <c r="K768" s="53"/>
    </row>
    <row r="769">
      <c r="B769" s="52"/>
      <c r="C769" s="53"/>
      <c r="D769" s="53"/>
      <c r="E769" s="53"/>
      <c r="F769" s="53"/>
      <c r="G769" s="53"/>
      <c r="H769" s="53"/>
      <c r="I769" s="53"/>
      <c r="J769" s="53"/>
      <c r="K769" s="53"/>
    </row>
    <row r="770">
      <c r="B770" s="52"/>
      <c r="C770" s="53"/>
      <c r="D770" s="53"/>
      <c r="E770" s="53"/>
      <c r="F770" s="53"/>
      <c r="G770" s="53"/>
      <c r="H770" s="53"/>
      <c r="I770" s="53"/>
      <c r="J770" s="53"/>
      <c r="K770" s="53"/>
    </row>
    <row r="771">
      <c r="B771" s="52"/>
      <c r="C771" s="53"/>
      <c r="D771" s="53"/>
      <c r="E771" s="53"/>
      <c r="F771" s="53"/>
      <c r="G771" s="53"/>
      <c r="H771" s="53"/>
      <c r="I771" s="53"/>
      <c r="J771" s="53"/>
      <c r="K771" s="53"/>
    </row>
    <row r="772">
      <c r="B772" s="52"/>
      <c r="C772" s="53"/>
      <c r="D772" s="53"/>
      <c r="E772" s="53"/>
      <c r="F772" s="53"/>
      <c r="G772" s="53"/>
      <c r="H772" s="53"/>
      <c r="I772" s="53"/>
      <c r="J772" s="53"/>
      <c r="K772" s="53"/>
    </row>
    <row r="773">
      <c r="B773" s="52"/>
      <c r="C773" s="53"/>
      <c r="D773" s="53"/>
      <c r="E773" s="53"/>
      <c r="F773" s="53"/>
      <c r="G773" s="53"/>
      <c r="H773" s="53"/>
      <c r="I773" s="53"/>
      <c r="J773" s="53"/>
      <c r="K773" s="53"/>
    </row>
    <row r="774">
      <c r="B774" s="52"/>
      <c r="C774" s="53"/>
      <c r="D774" s="53"/>
      <c r="E774" s="53"/>
      <c r="F774" s="53"/>
      <c r="G774" s="53"/>
      <c r="H774" s="53"/>
      <c r="I774" s="53"/>
      <c r="J774" s="53"/>
      <c r="K774" s="53"/>
    </row>
    <row r="775">
      <c r="B775" s="52"/>
      <c r="C775" s="53"/>
      <c r="D775" s="53"/>
      <c r="E775" s="53"/>
      <c r="F775" s="53"/>
      <c r="G775" s="53"/>
      <c r="H775" s="53"/>
      <c r="I775" s="53"/>
      <c r="J775" s="53"/>
      <c r="K775" s="53"/>
    </row>
    <row r="776">
      <c r="B776" s="52"/>
      <c r="C776" s="53"/>
      <c r="D776" s="53"/>
      <c r="E776" s="53"/>
      <c r="F776" s="53"/>
      <c r="G776" s="53"/>
      <c r="H776" s="53"/>
      <c r="I776" s="53"/>
      <c r="J776" s="53"/>
      <c r="K776" s="53"/>
    </row>
    <row r="777">
      <c r="B777" s="52"/>
      <c r="C777" s="53"/>
      <c r="D777" s="53"/>
      <c r="E777" s="53"/>
      <c r="F777" s="53"/>
      <c r="G777" s="53"/>
      <c r="H777" s="53"/>
      <c r="I777" s="53"/>
      <c r="J777" s="53"/>
      <c r="K777" s="53"/>
    </row>
    <row r="778">
      <c r="B778" s="52"/>
      <c r="C778" s="53"/>
      <c r="D778" s="53"/>
      <c r="E778" s="53"/>
      <c r="F778" s="53"/>
      <c r="G778" s="53"/>
      <c r="H778" s="53"/>
      <c r="I778" s="53"/>
      <c r="J778" s="53"/>
      <c r="K778" s="53"/>
    </row>
    <row r="779">
      <c r="B779" s="52"/>
      <c r="C779" s="53"/>
      <c r="D779" s="53"/>
      <c r="E779" s="53"/>
      <c r="F779" s="53"/>
      <c r="G779" s="53"/>
      <c r="H779" s="53"/>
      <c r="I779" s="53"/>
      <c r="J779" s="53"/>
      <c r="K779" s="53"/>
    </row>
    <row r="780">
      <c r="B780" s="52"/>
      <c r="C780" s="53"/>
      <c r="D780" s="53"/>
      <c r="E780" s="53"/>
      <c r="F780" s="53"/>
      <c r="G780" s="53"/>
      <c r="H780" s="53"/>
      <c r="I780" s="53"/>
      <c r="J780" s="53"/>
      <c r="K780" s="53"/>
    </row>
    <row r="781">
      <c r="B781" s="52"/>
      <c r="C781" s="53"/>
      <c r="D781" s="53"/>
      <c r="E781" s="53"/>
      <c r="F781" s="53"/>
      <c r="G781" s="53"/>
      <c r="H781" s="53"/>
      <c r="I781" s="53"/>
      <c r="J781" s="53"/>
      <c r="K781" s="53"/>
    </row>
    <row r="782">
      <c r="B782" s="52"/>
      <c r="C782" s="53"/>
      <c r="D782" s="53"/>
      <c r="E782" s="53"/>
      <c r="F782" s="53"/>
      <c r="G782" s="53"/>
      <c r="H782" s="53"/>
      <c r="I782" s="53"/>
      <c r="J782" s="53"/>
      <c r="K782" s="53"/>
    </row>
    <row r="783">
      <c r="B783" s="52"/>
      <c r="C783" s="53"/>
      <c r="D783" s="53"/>
      <c r="E783" s="53"/>
      <c r="F783" s="53"/>
      <c r="G783" s="53"/>
      <c r="H783" s="53"/>
      <c r="I783" s="53"/>
      <c r="J783" s="53"/>
      <c r="K783" s="53"/>
    </row>
    <row r="784">
      <c r="B784" s="52"/>
      <c r="C784" s="53"/>
      <c r="D784" s="53"/>
      <c r="E784" s="53"/>
      <c r="F784" s="53"/>
      <c r="G784" s="53"/>
      <c r="H784" s="53"/>
      <c r="I784" s="53"/>
      <c r="J784" s="53"/>
      <c r="K784" s="53"/>
    </row>
    <row r="785">
      <c r="B785" s="52"/>
      <c r="C785" s="53"/>
      <c r="D785" s="53"/>
      <c r="E785" s="53"/>
      <c r="F785" s="53"/>
      <c r="G785" s="53"/>
      <c r="H785" s="53"/>
      <c r="I785" s="53"/>
      <c r="J785" s="53"/>
      <c r="K785" s="53"/>
    </row>
    <row r="786">
      <c r="B786" s="52"/>
      <c r="C786" s="53"/>
      <c r="D786" s="53"/>
      <c r="E786" s="53"/>
      <c r="F786" s="53"/>
      <c r="G786" s="53"/>
      <c r="H786" s="53"/>
      <c r="I786" s="53"/>
      <c r="J786" s="53"/>
      <c r="K786" s="53"/>
    </row>
    <row r="787">
      <c r="B787" s="52"/>
      <c r="C787" s="53"/>
      <c r="D787" s="53"/>
      <c r="E787" s="53"/>
      <c r="F787" s="53"/>
      <c r="G787" s="53"/>
      <c r="H787" s="53"/>
      <c r="I787" s="53"/>
      <c r="J787" s="53"/>
      <c r="K787" s="53"/>
    </row>
    <row r="788">
      <c r="B788" s="52"/>
      <c r="C788" s="53"/>
      <c r="D788" s="53"/>
      <c r="E788" s="53"/>
      <c r="F788" s="53"/>
      <c r="G788" s="53"/>
      <c r="H788" s="53"/>
      <c r="I788" s="53"/>
      <c r="J788" s="53"/>
      <c r="K788" s="53"/>
    </row>
    <row r="789">
      <c r="B789" s="52"/>
      <c r="C789" s="53"/>
      <c r="D789" s="53"/>
      <c r="E789" s="53"/>
      <c r="F789" s="53"/>
      <c r="G789" s="53"/>
      <c r="H789" s="53"/>
      <c r="I789" s="53"/>
      <c r="J789" s="53"/>
      <c r="K789" s="53"/>
    </row>
    <row r="790">
      <c r="B790" s="52"/>
      <c r="C790" s="53"/>
      <c r="D790" s="53"/>
      <c r="E790" s="53"/>
      <c r="F790" s="53"/>
      <c r="G790" s="53"/>
      <c r="H790" s="53"/>
      <c r="I790" s="53"/>
      <c r="J790" s="53"/>
      <c r="K790" s="53"/>
    </row>
    <row r="791">
      <c r="B791" s="52"/>
      <c r="C791" s="53"/>
      <c r="D791" s="53"/>
      <c r="E791" s="53"/>
      <c r="F791" s="53"/>
      <c r="G791" s="53"/>
      <c r="H791" s="53"/>
      <c r="I791" s="53"/>
      <c r="J791" s="53"/>
      <c r="K791" s="53"/>
    </row>
    <row r="792">
      <c r="B792" s="52"/>
      <c r="C792" s="53"/>
      <c r="D792" s="53"/>
      <c r="E792" s="53"/>
      <c r="F792" s="53"/>
      <c r="G792" s="53"/>
      <c r="H792" s="53"/>
      <c r="I792" s="53"/>
      <c r="J792" s="53"/>
      <c r="K792" s="53"/>
    </row>
    <row r="793">
      <c r="B793" s="52"/>
      <c r="C793" s="53"/>
      <c r="D793" s="53"/>
      <c r="E793" s="53"/>
      <c r="F793" s="53"/>
      <c r="G793" s="53"/>
      <c r="H793" s="53"/>
      <c r="I793" s="53"/>
      <c r="J793" s="53"/>
      <c r="K793" s="53"/>
    </row>
    <row r="794">
      <c r="B794" s="52"/>
      <c r="C794" s="53"/>
      <c r="D794" s="53"/>
      <c r="E794" s="53"/>
      <c r="F794" s="53"/>
      <c r="G794" s="53"/>
      <c r="H794" s="53"/>
      <c r="I794" s="53"/>
      <c r="J794" s="53"/>
      <c r="K794" s="53"/>
    </row>
    <row r="795">
      <c r="B795" s="52"/>
      <c r="C795" s="53"/>
      <c r="D795" s="53"/>
      <c r="E795" s="53"/>
      <c r="F795" s="53"/>
      <c r="G795" s="53"/>
      <c r="H795" s="53"/>
      <c r="I795" s="53"/>
      <c r="J795" s="53"/>
      <c r="K795" s="53"/>
    </row>
    <row r="796">
      <c r="B796" s="52"/>
      <c r="C796" s="53"/>
      <c r="D796" s="53"/>
      <c r="E796" s="53"/>
      <c r="F796" s="53"/>
      <c r="G796" s="53"/>
      <c r="H796" s="53"/>
      <c r="I796" s="53"/>
      <c r="J796" s="53"/>
      <c r="K796" s="53"/>
    </row>
    <row r="797">
      <c r="B797" s="52"/>
      <c r="C797" s="53"/>
      <c r="D797" s="53"/>
      <c r="E797" s="53"/>
      <c r="F797" s="53"/>
      <c r="G797" s="53"/>
      <c r="H797" s="53"/>
      <c r="I797" s="53"/>
      <c r="J797" s="53"/>
      <c r="K797" s="53"/>
    </row>
    <row r="798">
      <c r="B798" s="52"/>
      <c r="C798" s="53"/>
      <c r="D798" s="53"/>
      <c r="E798" s="53"/>
      <c r="F798" s="53"/>
      <c r="G798" s="53"/>
      <c r="H798" s="53"/>
      <c r="I798" s="53"/>
      <c r="J798" s="53"/>
      <c r="K798" s="53"/>
    </row>
    <row r="799">
      <c r="B799" s="52"/>
      <c r="C799" s="53"/>
      <c r="D799" s="53"/>
      <c r="E799" s="53"/>
      <c r="F799" s="53"/>
      <c r="G799" s="53"/>
      <c r="H799" s="53"/>
      <c r="I799" s="53"/>
      <c r="J799" s="53"/>
      <c r="K799" s="53"/>
    </row>
    <row r="800">
      <c r="B800" s="52"/>
      <c r="C800" s="53"/>
      <c r="D800" s="53"/>
      <c r="E800" s="53"/>
      <c r="F800" s="53"/>
      <c r="G800" s="53"/>
      <c r="H800" s="53"/>
      <c r="I800" s="53"/>
      <c r="J800" s="53"/>
      <c r="K800" s="53"/>
    </row>
    <row r="801">
      <c r="B801" s="52"/>
      <c r="C801" s="53"/>
      <c r="D801" s="53"/>
      <c r="E801" s="53"/>
      <c r="F801" s="53"/>
      <c r="G801" s="53"/>
      <c r="H801" s="53"/>
      <c r="I801" s="53"/>
      <c r="J801" s="53"/>
      <c r="K801" s="53"/>
    </row>
    <row r="802">
      <c r="B802" s="52"/>
      <c r="C802" s="53"/>
      <c r="D802" s="53"/>
      <c r="E802" s="53"/>
      <c r="F802" s="53"/>
      <c r="G802" s="53"/>
      <c r="H802" s="53"/>
      <c r="I802" s="53"/>
      <c r="J802" s="53"/>
      <c r="K802" s="53"/>
    </row>
    <row r="803">
      <c r="B803" s="52"/>
      <c r="C803" s="53"/>
      <c r="D803" s="53"/>
      <c r="E803" s="53"/>
      <c r="F803" s="53"/>
      <c r="G803" s="53"/>
      <c r="H803" s="53"/>
      <c r="I803" s="53"/>
      <c r="J803" s="53"/>
      <c r="K803" s="53"/>
    </row>
    <row r="804">
      <c r="B804" s="52"/>
      <c r="C804" s="53"/>
      <c r="D804" s="53"/>
      <c r="E804" s="53"/>
      <c r="F804" s="53"/>
      <c r="G804" s="53"/>
      <c r="H804" s="53"/>
      <c r="I804" s="53"/>
      <c r="J804" s="53"/>
      <c r="K804" s="53"/>
    </row>
    <row r="805">
      <c r="B805" s="52"/>
      <c r="C805" s="53"/>
      <c r="D805" s="53"/>
      <c r="E805" s="53"/>
      <c r="F805" s="53"/>
      <c r="G805" s="53"/>
      <c r="H805" s="53"/>
      <c r="I805" s="53"/>
      <c r="J805" s="53"/>
      <c r="K805" s="53"/>
    </row>
    <row r="806">
      <c r="B806" s="52"/>
      <c r="C806" s="53"/>
      <c r="D806" s="53"/>
      <c r="E806" s="53"/>
      <c r="F806" s="53"/>
      <c r="G806" s="53"/>
      <c r="H806" s="53"/>
      <c r="I806" s="53"/>
      <c r="J806" s="53"/>
      <c r="K806" s="53"/>
    </row>
    <row r="807">
      <c r="B807" s="52"/>
      <c r="C807" s="53"/>
      <c r="D807" s="53"/>
      <c r="E807" s="53"/>
      <c r="F807" s="53"/>
      <c r="G807" s="53"/>
      <c r="H807" s="53"/>
      <c r="I807" s="53"/>
      <c r="J807" s="53"/>
      <c r="K807" s="53"/>
    </row>
    <row r="808">
      <c r="B808" s="52"/>
      <c r="C808" s="53"/>
      <c r="D808" s="53"/>
      <c r="E808" s="53"/>
      <c r="F808" s="53"/>
      <c r="G808" s="53"/>
      <c r="H808" s="53"/>
      <c r="I808" s="53"/>
      <c r="J808" s="53"/>
      <c r="K808" s="53"/>
    </row>
    <row r="809">
      <c r="B809" s="52"/>
      <c r="C809" s="53"/>
      <c r="D809" s="53"/>
      <c r="E809" s="53"/>
      <c r="F809" s="53"/>
      <c r="G809" s="53"/>
      <c r="H809" s="53"/>
      <c r="I809" s="53"/>
      <c r="J809" s="53"/>
      <c r="K809" s="53"/>
    </row>
    <row r="810">
      <c r="B810" s="52"/>
      <c r="C810" s="53"/>
      <c r="D810" s="53"/>
      <c r="E810" s="53"/>
      <c r="F810" s="53"/>
      <c r="G810" s="53"/>
      <c r="H810" s="53"/>
      <c r="I810" s="53"/>
      <c r="J810" s="53"/>
      <c r="K810" s="53"/>
    </row>
    <row r="811">
      <c r="B811" s="52"/>
      <c r="C811" s="53"/>
      <c r="D811" s="53"/>
      <c r="E811" s="53"/>
      <c r="F811" s="53"/>
      <c r="G811" s="53"/>
      <c r="H811" s="53"/>
      <c r="I811" s="53"/>
      <c r="J811" s="53"/>
      <c r="K811" s="53"/>
    </row>
    <row r="812">
      <c r="B812" s="52"/>
      <c r="C812" s="53"/>
      <c r="D812" s="53"/>
      <c r="E812" s="53"/>
      <c r="F812" s="53"/>
      <c r="G812" s="53"/>
      <c r="H812" s="53"/>
      <c r="I812" s="53"/>
      <c r="J812" s="53"/>
      <c r="K812" s="53"/>
    </row>
    <row r="813">
      <c r="B813" s="52"/>
      <c r="C813" s="53"/>
      <c r="D813" s="53"/>
      <c r="E813" s="53"/>
      <c r="F813" s="53"/>
      <c r="G813" s="53"/>
      <c r="H813" s="53"/>
      <c r="I813" s="53"/>
      <c r="J813" s="53"/>
      <c r="K813" s="53"/>
    </row>
    <row r="814">
      <c r="B814" s="52"/>
      <c r="C814" s="53"/>
      <c r="D814" s="53"/>
      <c r="E814" s="53"/>
      <c r="F814" s="53"/>
      <c r="G814" s="53"/>
      <c r="H814" s="53"/>
      <c r="I814" s="53"/>
      <c r="J814" s="53"/>
      <c r="K814" s="53"/>
    </row>
    <row r="815">
      <c r="B815" s="52"/>
      <c r="C815" s="53"/>
      <c r="D815" s="53"/>
      <c r="E815" s="53"/>
      <c r="F815" s="53"/>
      <c r="G815" s="53"/>
      <c r="H815" s="53"/>
      <c r="I815" s="53"/>
      <c r="J815" s="53"/>
      <c r="K815" s="53"/>
    </row>
    <row r="816">
      <c r="B816" s="52"/>
      <c r="C816" s="53"/>
      <c r="D816" s="53"/>
      <c r="E816" s="53"/>
      <c r="F816" s="53"/>
      <c r="G816" s="53"/>
      <c r="H816" s="53"/>
      <c r="I816" s="53"/>
      <c r="J816" s="53"/>
      <c r="K816" s="53"/>
    </row>
    <row r="817">
      <c r="B817" s="52"/>
      <c r="C817" s="53"/>
      <c r="D817" s="53"/>
      <c r="E817" s="53"/>
      <c r="F817" s="53"/>
      <c r="G817" s="53"/>
      <c r="H817" s="53"/>
      <c r="I817" s="53"/>
      <c r="J817" s="53"/>
      <c r="K817" s="53"/>
    </row>
    <row r="818">
      <c r="B818" s="52"/>
      <c r="C818" s="53"/>
      <c r="D818" s="53"/>
      <c r="E818" s="53"/>
      <c r="F818" s="53"/>
      <c r="G818" s="53"/>
      <c r="H818" s="53"/>
      <c r="I818" s="53"/>
      <c r="J818" s="53"/>
      <c r="K818" s="53"/>
    </row>
    <row r="819">
      <c r="B819" s="52"/>
      <c r="C819" s="53"/>
      <c r="D819" s="53"/>
      <c r="E819" s="53"/>
      <c r="F819" s="53"/>
      <c r="G819" s="53"/>
      <c r="H819" s="53"/>
      <c r="I819" s="53"/>
      <c r="J819" s="53"/>
      <c r="K819" s="53"/>
    </row>
    <row r="820">
      <c r="B820" s="52"/>
      <c r="C820" s="53"/>
      <c r="D820" s="53"/>
      <c r="E820" s="53"/>
      <c r="F820" s="53"/>
      <c r="G820" s="53"/>
      <c r="H820" s="53"/>
      <c r="I820" s="53"/>
      <c r="J820" s="53"/>
      <c r="K820" s="53"/>
    </row>
    <row r="821">
      <c r="B821" s="52"/>
      <c r="C821" s="53"/>
      <c r="D821" s="53"/>
      <c r="E821" s="53"/>
      <c r="F821" s="53"/>
      <c r="G821" s="53"/>
      <c r="H821" s="53"/>
      <c r="I821" s="53"/>
      <c r="J821" s="53"/>
      <c r="K821" s="53"/>
    </row>
    <row r="822">
      <c r="B822" s="52"/>
      <c r="C822" s="53"/>
      <c r="D822" s="53"/>
      <c r="E822" s="53"/>
      <c r="F822" s="53"/>
      <c r="G822" s="53"/>
      <c r="H822" s="53"/>
      <c r="I822" s="53"/>
      <c r="J822" s="53"/>
      <c r="K822" s="53"/>
    </row>
    <row r="823">
      <c r="B823" s="52"/>
      <c r="C823" s="53"/>
      <c r="D823" s="53"/>
      <c r="E823" s="53"/>
      <c r="F823" s="53"/>
      <c r="G823" s="53"/>
      <c r="H823" s="53"/>
      <c r="I823" s="53"/>
      <c r="J823" s="53"/>
      <c r="K823" s="53"/>
    </row>
    <row r="824">
      <c r="B824" s="52"/>
      <c r="C824" s="53"/>
      <c r="D824" s="53"/>
      <c r="E824" s="53"/>
      <c r="F824" s="53"/>
      <c r="G824" s="53"/>
      <c r="H824" s="53"/>
      <c r="I824" s="53"/>
      <c r="J824" s="53"/>
      <c r="K824" s="53"/>
    </row>
    <row r="825">
      <c r="B825" s="52"/>
      <c r="C825" s="53"/>
      <c r="D825" s="53"/>
      <c r="E825" s="53"/>
      <c r="F825" s="53"/>
      <c r="G825" s="53"/>
      <c r="H825" s="53"/>
      <c r="I825" s="53"/>
      <c r="J825" s="53"/>
      <c r="K825" s="53"/>
    </row>
    <row r="826">
      <c r="B826" s="52"/>
      <c r="C826" s="53"/>
      <c r="D826" s="53"/>
      <c r="E826" s="53"/>
      <c r="F826" s="53"/>
      <c r="G826" s="53"/>
      <c r="H826" s="53"/>
      <c r="I826" s="53"/>
      <c r="J826" s="53"/>
      <c r="K826" s="53"/>
    </row>
    <row r="827">
      <c r="B827" s="52"/>
      <c r="C827" s="53"/>
      <c r="D827" s="53"/>
      <c r="E827" s="53"/>
      <c r="F827" s="53"/>
      <c r="G827" s="53"/>
      <c r="H827" s="53"/>
      <c r="I827" s="53"/>
      <c r="J827" s="53"/>
      <c r="K827" s="53"/>
    </row>
    <row r="828">
      <c r="B828" s="52"/>
      <c r="C828" s="53"/>
      <c r="D828" s="53"/>
      <c r="E828" s="53"/>
      <c r="F828" s="53"/>
      <c r="G828" s="53"/>
      <c r="H828" s="53"/>
      <c r="I828" s="53"/>
      <c r="J828" s="53"/>
      <c r="K828" s="53"/>
    </row>
    <row r="829">
      <c r="B829" s="52"/>
      <c r="C829" s="53"/>
      <c r="D829" s="53"/>
      <c r="E829" s="53"/>
      <c r="F829" s="53"/>
      <c r="G829" s="53"/>
      <c r="H829" s="53"/>
      <c r="I829" s="53"/>
      <c r="J829" s="53"/>
      <c r="K829" s="53"/>
    </row>
    <row r="830">
      <c r="B830" s="52"/>
      <c r="C830" s="53"/>
      <c r="D830" s="53"/>
      <c r="E830" s="53"/>
      <c r="F830" s="53"/>
      <c r="G830" s="53"/>
      <c r="H830" s="53"/>
      <c r="I830" s="53"/>
      <c r="J830" s="53"/>
      <c r="K830" s="53"/>
    </row>
    <row r="831">
      <c r="B831" s="52"/>
      <c r="C831" s="53"/>
      <c r="D831" s="53"/>
      <c r="E831" s="53"/>
      <c r="F831" s="53"/>
      <c r="G831" s="53"/>
      <c r="H831" s="53"/>
      <c r="I831" s="53"/>
      <c r="J831" s="53"/>
      <c r="K831" s="53"/>
    </row>
    <row r="832">
      <c r="B832" s="52"/>
      <c r="C832" s="53"/>
      <c r="D832" s="53"/>
      <c r="E832" s="53"/>
      <c r="F832" s="53"/>
      <c r="G832" s="53"/>
      <c r="H832" s="53"/>
      <c r="I832" s="53"/>
      <c r="J832" s="53"/>
      <c r="K832" s="53"/>
    </row>
    <row r="833">
      <c r="B833" s="52"/>
      <c r="C833" s="53"/>
      <c r="D833" s="53"/>
      <c r="E833" s="53"/>
      <c r="F833" s="53"/>
      <c r="G833" s="53"/>
      <c r="H833" s="53"/>
      <c r="I833" s="53"/>
      <c r="J833" s="53"/>
      <c r="K833" s="53"/>
    </row>
    <row r="834">
      <c r="B834" s="52"/>
      <c r="C834" s="53"/>
      <c r="D834" s="53"/>
      <c r="E834" s="53"/>
      <c r="F834" s="53"/>
      <c r="G834" s="53"/>
      <c r="H834" s="53"/>
      <c r="I834" s="53"/>
      <c r="J834" s="53"/>
      <c r="K834" s="53"/>
    </row>
    <row r="835">
      <c r="B835" s="52"/>
      <c r="C835" s="53"/>
      <c r="D835" s="53"/>
      <c r="E835" s="53"/>
      <c r="F835" s="53"/>
      <c r="G835" s="53"/>
      <c r="H835" s="53"/>
      <c r="I835" s="53"/>
      <c r="J835" s="53"/>
      <c r="K835" s="53"/>
    </row>
    <row r="836">
      <c r="B836" s="52"/>
      <c r="C836" s="53"/>
      <c r="D836" s="53"/>
      <c r="E836" s="53"/>
      <c r="F836" s="53"/>
      <c r="G836" s="53"/>
      <c r="H836" s="53"/>
      <c r="I836" s="53"/>
      <c r="J836" s="53"/>
      <c r="K836" s="53"/>
    </row>
    <row r="837">
      <c r="B837" s="52"/>
      <c r="C837" s="53"/>
      <c r="D837" s="53"/>
      <c r="E837" s="53"/>
      <c r="F837" s="53"/>
      <c r="G837" s="53"/>
      <c r="H837" s="53"/>
      <c r="I837" s="53"/>
      <c r="J837" s="53"/>
      <c r="K837" s="53"/>
    </row>
    <row r="838">
      <c r="B838" s="52"/>
      <c r="C838" s="53"/>
      <c r="D838" s="53"/>
      <c r="E838" s="53"/>
      <c r="F838" s="53"/>
      <c r="G838" s="53"/>
      <c r="H838" s="53"/>
      <c r="I838" s="53"/>
      <c r="J838" s="53"/>
      <c r="K838" s="53"/>
    </row>
    <row r="839">
      <c r="B839" s="52"/>
      <c r="C839" s="53"/>
      <c r="D839" s="53"/>
      <c r="E839" s="53"/>
      <c r="F839" s="53"/>
      <c r="G839" s="53"/>
      <c r="H839" s="53"/>
      <c r="I839" s="53"/>
      <c r="J839" s="53"/>
      <c r="K839" s="53"/>
    </row>
    <row r="840">
      <c r="B840" s="52"/>
      <c r="C840" s="53"/>
      <c r="D840" s="53"/>
      <c r="E840" s="53"/>
      <c r="F840" s="53"/>
      <c r="G840" s="53"/>
      <c r="H840" s="53"/>
      <c r="I840" s="53"/>
      <c r="J840" s="53"/>
      <c r="K840" s="53"/>
    </row>
    <row r="841">
      <c r="B841" s="52"/>
      <c r="C841" s="53"/>
      <c r="D841" s="53"/>
      <c r="E841" s="53"/>
      <c r="F841" s="53"/>
      <c r="G841" s="53"/>
      <c r="H841" s="53"/>
      <c r="I841" s="53"/>
      <c r="J841" s="53"/>
      <c r="K841" s="53"/>
    </row>
    <row r="842">
      <c r="B842" s="52"/>
      <c r="C842" s="53"/>
      <c r="D842" s="53"/>
      <c r="E842" s="53"/>
      <c r="F842" s="53"/>
      <c r="G842" s="53"/>
      <c r="H842" s="53"/>
      <c r="I842" s="53"/>
      <c r="J842" s="53"/>
      <c r="K842" s="53"/>
    </row>
    <row r="843">
      <c r="B843" s="52"/>
      <c r="C843" s="53"/>
      <c r="D843" s="53"/>
      <c r="E843" s="53"/>
      <c r="F843" s="53"/>
      <c r="G843" s="53"/>
      <c r="H843" s="53"/>
      <c r="I843" s="53"/>
      <c r="J843" s="53"/>
      <c r="K843" s="53"/>
    </row>
    <row r="844">
      <c r="B844" s="52"/>
      <c r="C844" s="53"/>
      <c r="D844" s="53"/>
      <c r="E844" s="53"/>
      <c r="F844" s="53"/>
      <c r="G844" s="53"/>
      <c r="H844" s="53"/>
      <c r="I844" s="53"/>
      <c r="J844" s="53"/>
      <c r="K844" s="53"/>
    </row>
    <row r="845">
      <c r="B845" s="52"/>
      <c r="C845" s="53"/>
      <c r="D845" s="53"/>
      <c r="E845" s="53"/>
      <c r="F845" s="53"/>
      <c r="G845" s="53"/>
      <c r="H845" s="53"/>
      <c r="I845" s="53"/>
      <c r="J845" s="53"/>
      <c r="K845" s="53"/>
    </row>
    <row r="846">
      <c r="B846" s="52"/>
      <c r="C846" s="53"/>
      <c r="D846" s="53"/>
      <c r="E846" s="53"/>
      <c r="F846" s="53"/>
      <c r="G846" s="53"/>
      <c r="H846" s="53"/>
      <c r="I846" s="53"/>
      <c r="J846" s="53"/>
      <c r="K846" s="53"/>
    </row>
    <row r="847">
      <c r="B847" s="52"/>
      <c r="C847" s="53"/>
      <c r="D847" s="53"/>
      <c r="E847" s="53"/>
      <c r="F847" s="53"/>
      <c r="G847" s="53"/>
      <c r="H847" s="53"/>
      <c r="I847" s="53"/>
      <c r="J847" s="53"/>
      <c r="K847" s="53"/>
    </row>
    <row r="848">
      <c r="B848" s="52"/>
      <c r="C848" s="53"/>
      <c r="D848" s="53"/>
      <c r="E848" s="53"/>
      <c r="F848" s="53"/>
      <c r="G848" s="53"/>
      <c r="H848" s="53"/>
      <c r="I848" s="53"/>
      <c r="J848" s="53"/>
      <c r="K848" s="53"/>
    </row>
    <row r="849">
      <c r="B849" s="52"/>
      <c r="C849" s="53"/>
      <c r="D849" s="53"/>
      <c r="E849" s="53"/>
      <c r="F849" s="53"/>
      <c r="G849" s="53"/>
      <c r="H849" s="53"/>
      <c r="I849" s="53"/>
      <c r="J849" s="53"/>
      <c r="K849" s="53"/>
    </row>
    <row r="850">
      <c r="B850" s="52"/>
      <c r="C850" s="53"/>
      <c r="D850" s="53"/>
      <c r="E850" s="53"/>
      <c r="F850" s="53"/>
      <c r="G850" s="53"/>
      <c r="H850" s="53"/>
      <c r="I850" s="53"/>
      <c r="J850" s="53"/>
      <c r="K850" s="53"/>
    </row>
    <row r="851">
      <c r="B851" s="52"/>
      <c r="C851" s="53"/>
      <c r="D851" s="53"/>
      <c r="E851" s="53"/>
      <c r="F851" s="53"/>
      <c r="G851" s="53"/>
      <c r="H851" s="53"/>
      <c r="I851" s="53"/>
      <c r="J851" s="53"/>
      <c r="K851" s="53"/>
    </row>
    <row r="852">
      <c r="B852" s="52"/>
      <c r="C852" s="53"/>
      <c r="D852" s="53"/>
      <c r="E852" s="53"/>
      <c r="F852" s="53"/>
      <c r="G852" s="53"/>
      <c r="H852" s="53"/>
      <c r="I852" s="53"/>
      <c r="J852" s="53"/>
      <c r="K852" s="53"/>
    </row>
    <row r="853">
      <c r="B853" s="52"/>
      <c r="C853" s="53"/>
      <c r="D853" s="53"/>
      <c r="E853" s="53"/>
      <c r="F853" s="53"/>
      <c r="G853" s="53"/>
      <c r="H853" s="53"/>
      <c r="I853" s="53"/>
      <c r="J853" s="53"/>
      <c r="K853" s="53"/>
    </row>
    <row r="854">
      <c r="B854" s="52"/>
      <c r="C854" s="53"/>
      <c r="D854" s="53"/>
      <c r="E854" s="53"/>
      <c r="F854" s="53"/>
      <c r="G854" s="53"/>
      <c r="H854" s="53"/>
      <c r="I854" s="53"/>
      <c r="J854" s="53"/>
      <c r="K854" s="53"/>
    </row>
    <row r="855">
      <c r="B855" s="52"/>
      <c r="C855" s="53"/>
      <c r="D855" s="53"/>
      <c r="E855" s="53"/>
      <c r="F855" s="53"/>
      <c r="G855" s="53"/>
      <c r="H855" s="53"/>
      <c r="I855" s="53"/>
      <c r="J855" s="53"/>
      <c r="K855" s="53"/>
    </row>
    <row r="856">
      <c r="B856" s="52"/>
      <c r="C856" s="53"/>
      <c r="D856" s="53"/>
      <c r="E856" s="53"/>
      <c r="F856" s="53"/>
      <c r="G856" s="53"/>
      <c r="H856" s="53"/>
      <c r="I856" s="53"/>
      <c r="J856" s="53"/>
      <c r="K856" s="53"/>
    </row>
    <row r="857">
      <c r="B857" s="52"/>
      <c r="C857" s="53"/>
      <c r="D857" s="53"/>
      <c r="E857" s="53"/>
      <c r="F857" s="53"/>
      <c r="G857" s="53"/>
      <c r="H857" s="53"/>
      <c r="I857" s="53"/>
      <c r="J857" s="53"/>
      <c r="K857" s="53"/>
    </row>
    <row r="858">
      <c r="B858" s="52"/>
      <c r="C858" s="53"/>
      <c r="D858" s="53"/>
      <c r="E858" s="53"/>
      <c r="F858" s="53"/>
      <c r="G858" s="53"/>
      <c r="H858" s="53"/>
      <c r="I858" s="53"/>
      <c r="J858" s="53"/>
      <c r="K858" s="53"/>
    </row>
    <row r="859">
      <c r="B859" s="52"/>
      <c r="C859" s="53"/>
      <c r="D859" s="53"/>
      <c r="E859" s="53"/>
      <c r="F859" s="53"/>
      <c r="G859" s="53"/>
      <c r="H859" s="53"/>
      <c r="I859" s="53"/>
      <c r="J859" s="53"/>
      <c r="K859" s="53"/>
    </row>
    <row r="860">
      <c r="B860" s="52"/>
      <c r="C860" s="53"/>
      <c r="D860" s="53"/>
      <c r="E860" s="53"/>
      <c r="F860" s="53"/>
      <c r="G860" s="53"/>
      <c r="H860" s="53"/>
      <c r="I860" s="53"/>
      <c r="J860" s="53"/>
      <c r="K860" s="53"/>
    </row>
    <row r="861">
      <c r="B861" s="52"/>
      <c r="C861" s="53"/>
      <c r="D861" s="53"/>
      <c r="E861" s="53"/>
      <c r="F861" s="53"/>
      <c r="G861" s="53"/>
      <c r="H861" s="53"/>
      <c r="I861" s="53"/>
      <c r="J861" s="53"/>
      <c r="K861" s="53"/>
    </row>
    <row r="862">
      <c r="B862" s="52"/>
      <c r="C862" s="53"/>
      <c r="D862" s="53"/>
      <c r="E862" s="53"/>
      <c r="F862" s="53"/>
      <c r="G862" s="53"/>
      <c r="H862" s="53"/>
      <c r="I862" s="53"/>
      <c r="J862" s="53"/>
      <c r="K862" s="53"/>
    </row>
    <row r="863">
      <c r="B863" s="52"/>
      <c r="C863" s="53"/>
      <c r="D863" s="53"/>
      <c r="E863" s="53"/>
      <c r="F863" s="53"/>
      <c r="G863" s="53"/>
      <c r="H863" s="53"/>
      <c r="I863" s="53"/>
      <c r="J863" s="53"/>
      <c r="K863" s="53"/>
    </row>
    <row r="864">
      <c r="B864" s="52"/>
      <c r="C864" s="53"/>
      <c r="D864" s="53"/>
      <c r="E864" s="53"/>
      <c r="F864" s="53"/>
      <c r="G864" s="53"/>
      <c r="H864" s="53"/>
      <c r="I864" s="53"/>
      <c r="J864" s="53"/>
      <c r="K864" s="53"/>
    </row>
    <row r="865">
      <c r="B865" s="52"/>
      <c r="C865" s="53"/>
      <c r="D865" s="53"/>
      <c r="E865" s="53"/>
      <c r="F865" s="53"/>
      <c r="G865" s="53"/>
      <c r="H865" s="53"/>
      <c r="I865" s="53"/>
      <c r="J865" s="53"/>
      <c r="K865" s="53"/>
    </row>
    <row r="866">
      <c r="B866" s="52"/>
      <c r="C866" s="53"/>
      <c r="D866" s="53"/>
      <c r="E866" s="53"/>
      <c r="F866" s="53"/>
      <c r="G866" s="53"/>
      <c r="H866" s="53"/>
      <c r="I866" s="53"/>
      <c r="J866" s="53"/>
      <c r="K866" s="53"/>
    </row>
    <row r="867">
      <c r="B867" s="52"/>
      <c r="C867" s="53"/>
      <c r="D867" s="53"/>
      <c r="E867" s="53"/>
      <c r="F867" s="53"/>
      <c r="G867" s="53"/>
      <c r="H867" s="53"/>
      <c r="I867" s="53"/>
      <c r="J867" s="53"/>
      <c r="K867" s="53"/>
    </row>
    <row r="868">
      <c r="B868" s="52"/>
      <c r="C868" s="53"/>
      <c r="D868" s="53"/>
      <c r="E868" s="53"/>
      <c r="F868" s="53"/>
      <c r="G868" s="53"/>
      <c r="H868" s="53"/>
      <c r="I868" s="53"/>
      <c r="J868" s="53"/>
      <c r="K868" s="53"/>
    </row>
    <row r="869">
      <c r="B869" s="52"/>
      <c r="C869" s="53"/>
      <c r="D869" s="53"/>
      <c r="E869" s="53"/>
      <c r="F869" s="53"/>
      <c r="G869" s="53"/>
      <c r="H869" s="53"/>
      <c r="I869" s="53"/>
      <c r="J869" s="53"/>
      <c r="K869" s="53"/>
    </row>
    <row r="870">
      <c r="B870" s="52"/>
      <c r="C870" s="53"/>
      <c r="D870" s="53"/>
      <c r="E870" s="53"/>
      <c r="F870" s="53"/>
      <c r="G870" s="53"/>
      <c r="H870" s="53"/>
      <c r="I870" s="53"/>
      <c r="J870" s="53"/>
      <c r="K870" s="53"/>
    </row>
    <row r="871">
      <c r="B871" s="52"/>
      <c r="C871" s="53"/>
      <c r="D871" s="53"/>
      <c r="E871" s="53"/>
      <c r="F871" s="53"/>
      <c r="G871" s="53"/>
      <c r="H871" s="53"/>
      <c r="I871" s="53"/>
      <c r="J871" s="53"/>
      <c r="K871" s="53"/>
    </row>
    <row r="872">
      <c r="B872" s="52"/>
      <c r="C872" s="53"/>
      <c r="D872" s="53"/>
      <c r="E872" s="53"/>
      <c r="F872" s="53"/>
      <c r="G872" s="53"/>
      <c r="H872" s="53"/>
      <c r="I872" s="53"/>
      <c r="J872" s="53"/>
      <c r="K872" s="53"/>
    </row>
    <row r="873">
      <c r="B873" s="52"/>
      <c r="C873" s="53"/>
      <c r="D873" s="53"/>
      <c r="E873" s="53"/>
      <c r="F873" s="53"/>
      <c r="G873" s="53"/>
      <c r="H873" s="53"/>
      <c r="I873" s="53"/>
      <c r="J873" s="53"/>
      <c r="K873" s="53"/>
    </row>
    <row r="874">
      <c r="B874" s="52"/>
      <c r="C874" s="53"/>
      <c r="D874" s="53"/>
      <c r="E874" s="53"/>
      <c r="F874" s="53"/>
      <c r="G874" s="53"/>
      <c r="H874" s="53"/>
      <c r="I874" s="53"/>
      <c r="J874" s="53"/>
      <c r="K874" s="53"/>
    </row>
    <row r="875">
      <c r="B875" s="52"/>
      <c r="C875" s="53"/>
      <c r="D875" s="53"/>
      <c r="E875" s="53"/>
      <c r="F875" s="53"/>
      <c r="G875" s="53"/>
      <c r="H875" s="53"/>
      <c r="I875" s="53"/>
      <c r="J875" s="53"/>
      <c r="K875" s="53"/>
    </row>
    <row r="876">
      <c r="B876" s="52"/>
      <c r="C876" s="53"/>
      <c r="D876" s="53"/>
      <c r="E876" s="53"/>
      <c r="F876" s="53"/>
      <c r="G876" s="53"/>
      <c r="H876" s="53"/>
      <c r="I876" s="53"/>
      <c r="J876" s="53"/>
      <c r="K876" s="53"/>
    </row>
    <row r="877">
      <c r="B877" s="52"/>
      <c r="C877" s="53"/>
      <c r="D877" s="53"/>
      <c r="E877" s="53"/>
      <c r="F877" s="53"/>
      <c r="G877" s="53"/>
      <c r="H877" s="53"/>
      <c r="I877" s="53"/>
      <c r="J877" s="53"/>
      <c r="K877" s="53"/>
    </row>
    <row r="878">
      <c r="B878" s="52"/>
      <c r="C878" s="53"/>
      <c r="D878" s="53"/>
      <c r="E878" s="53"/>
      <c r="F878" s="53"/>
      <c r="G878" s="53"/>
      <c r="H878" s="53"/>
      <c r="I878" s="53"/>
      <c r="J878" s="53"/>
      <c r="K878" s="53"/>
    </row>
    <row r="879">
      <c r="B879" s="52"/>
      <c r="C879" s="53"/>
      <c r="D879" s="53"/>
      <c r="E879" s="53"/>
      <c r="F879" s="53"/>
      <c r="G879" s="53"/>
      <c r="H879" s="53"/>
      <c r="I879" s="53"/>
      <c r="J879" s="53"/>
      <c r="K879" s="53"/>
    </row>
    <row r="880">
      <c r="B880" s="52"/>
      <c r="C880" s="53"/>
      <c r="D880" s="53"/>
      <c r="E880" s="53"/>
      <c r="F880" s="53"/>
      <c r="G880" s="53"/>
      <c r="H880" s="53"/>
      <c r="I880" s="53"/>
      <c r="J880" s="53"/>
      <c r="K880" s="53"/>
    </row>
    <row r="881">
      <c r="B881" s="52"/>
      <c r="C881" s="53"/>
      <c r="D881" s="53"/>
      <c r="E881" s="53"/>
      <c r="F881" s="53"/>
      <c r="G881" s="53"/>
      <c r="H881" s="53"/>
      <c r="I881" s="53"/>
      <c r="J881" s="53"/>
      <c r="K881" s="53"/>
    </row>
    <row r="882">
      <c r="B882" s="52"/>
      <c r="C882" s="53"/>
      <c r="D882" s="53"/>
      <c r="E882" s="53"/>
      <c r="F882" s="53"/>
      <c r="G882" s="53"/>
      <c r="H882" s="53"/>
      <c r="I882" s="53"/>
      <c r="J882" s="53"/>
      <c r="K882" s="53"/>
    </row>
    <row r="883">
      <c r="B883" s="52"/>
      <c r="C883" s="53"/>
      <c r="D883" s="53"/>
      <c r="E883" s="53"/>
      <c r="F883" s="53"/>
      <c r="G883" s="53"/>
      <c r="H883" s="53"/>
      <c r="I883" s="53"/>
      <c r="J883" s="53"/>
      <c r="K883" s="53"/>
    </row>
    <row r="884">
      <c r="B884" s="52"/>
      <c r="C884" s="53"/>
      <c r="D884" s="53"/>
      <c r="E884" s="53"/>
      <c r="F884" s="53"/>
      <c r="G884" s="53"/>
      <c r="H884" s="53"/>
      <c r="I884" s="53"/>
      <c r="J884" s="53"/>
      <c r="K884" s="53"/>
    </row>
    <row r="885">
      <c r="B885" s="52"/>
      <c r="C885" s="53"/>
      <c r="D885" s="53"/>
      <c r="E885" s="53"/>
      <c r="F885" s="53"/>
      <c r="G885" s="53"/>
      <c r="H885" s="53"/>
      <c r="I885" s="53"/>
      <c r="J885" s="53"/>
      <c r="K885" s="53"/>
    </row>
    <row r="886">
      <c r="B886" s="52"/>
      <c r="C886" s="53"/>
      <c r="D886" s="53"/>
      <c r="E886" s="53"/>
      <c r="F886" s="53"/>
      <c r="G886" s="53"/>
      <c r="H886" s="53"/>
      <c r="I886" s="53"/>
      <c r="J886" s="53"/>
      <c r="K886" s="53"/>
    </row>
    <row r="887">
      <c r="B887" s="52"/>
      <c r="C887" s="53"/>
      <c r="D887" s="53"/>
      <c r="E887" s="53"/>
      <c r="F887" s="53"/>
      <c r="G887" s="53"/>
      <c r="H887" s="53"/>
      <c r="I887" s="53"/>
      <c r="J887" s="53"/>
      <c r="K887" s="53"/>
    </row>
    <row r="888">
      <c r="B888" s="52"/>
      <c r="C888" s="53"/>
      <c r="D888" s="53"/>
      <c r="E888" s="53"/>
      <c r="F888" s="53"/>
      <c r="G888" s="53"/>
      <c r="H888" s="53"/>
      <c r="I888" s="53"/>
      <c r="J888" s="53"/>
      <c r="K888" s="53"/>
    </row>
    <row r="889">
      <c r="B889" s="52"/>
      <c r="C889" s="53"/>
      <c r="D889" s="53"/>
      <c r="E889" s="53"/>
      <c r="F889" s="53"/>
      <c r="G889" s="53"/>
      <c r="H889" s="53"/>
      <c r="I889" s="53"/>
      <c r="J889" s="53"/>
      <c r="K889" s="53"/>
    </row>
    <row r="890">
      <c r="B890" s="52"/>
      <c r="C890" s="53"/>
      <c r="D890" s="53"/>
      <c r="E890" s="53"/>
      <c r="F890" s="53"/>
      <c r="G890" s="53"/>
      <c r="H890" s="53"/>
      <c r="I890" s="53"/>
      <c r="J890" s="53"/>
      <c r="K890" s="53"/>
    </row>
    <row r="891">
      <c r="B891" s="52"/>
      <c r="C891" s="53"/>
      <c r="D891" s="53"/>
      <c r="E891" s="53"/>
      <c r="F891" s="53"/>
      <c r="G891" s="53"/>
      <c r="H891" s="53"/>
      <c r="I891" s="53"/>
      <c r="J891" s="53"/>
      <c r="K891" s="53"/>
    </row>
    <row r="892">
      <c r="B892" s="52"/>
      <c r="C892" s="53"/>
      <c r="D892" s="53"/>
      <c r="E892" s="53"/>
      <c r="F892" s="53"/>
      <c r="G892" s="53"/>
      <c r="H892" s="53"/>
      <c r="I892" s="53"/>
      <c r="J892" s="53"/>
      <c r="K892" s="53"/>
    </row>
    <row r="893">
      <c r="B893" s="52"/>
      <c r="C893" s="53"/>
      <c r="D893" s="53"/>
      <c r="E893" s="53"/>
      <c r="F893" s="53"/>
      <c r="G893" s="53"/>
      <c r="H893" s="53"/>
      <c r="I893" s="53"/>
      <c r="J893" s="53"/>
      <c r="K893" s="53"/>
    </row>
    <row r="894">
      <c r="B894" s="52"/>
      <c r="C894" s="53"/>
      <c r="D894" s="53"/>
      <c r="E894" s="53"/>
      <c r="F894" s="53"/>
      <c r="G894" s="53"/>
      <c r="H894" s="53"/>
      <c r="I894" s="53"/>
      <c r="J894" s="53"/>
      <c r="K894" s="53"/>
    </row>
    <row r="895">
      <c r="B895" s="52"/>
      <c r="C895" s="53"/>
      <c r="D895" s="53"/>
      <c r="E895" s="53"/>
      <c r="F895" s="53"/>
      <c r="G895" s="53"/>
      <c r="H895" s="53"/>
      <c r="I895" s="53"/>
      <c r="J895" s="53"/>
      <c r="K895" s="53"/>
    </row>
    <row r="896">
      <c r="B896" s="52"/>
      <c r="C896" s="53"/>
      <c r="D896" s="53"/>
      <c r="E896" s="53"/>
      <c r="F896" s="53"/>
      <c r="G896" s="53"/>
      <c r="H896" s="53"/>
      <c r="I896" s="53"/>
      <c r="J896" s="53"/>
      <c r="K896" s="53"/>
    </row>
    <row r="897">
      <c r="B897" s="52"/>
      <c r="C897" s="53"/>
      <c r="D897" s="53"/>
      <c r="E897" s="53"/>
      <c r="F897" s="53"/>
      <c r="G897" s="53"/>
      <c r="H897" s="53"/>
      <c r="I897" s="53"/>
      <c r="J897" s="53"/>
      <c r="K897" s="53"/>
    </row>
    <row r="898">
      <c r="B898" s="52"/>
      <c r="C898" s="53"/>
      <c r="D898" s="53"/>
      <c r="E898" s="53"/>
      <c r="F898" s="53"/>
      <c r="G898" s="53"/>
      <c r="H898" s="53"/>
      <c r="I898" s="53"/>
      <c r="J898" s="53"/>
      <c r="K898" s="53"/>
    </row>
    <row r="899">
      <c r="B899" s="52"/>
      <c r="C899" s="53"/>
      <c r="D899" s="53"/>
      <c r="E899" s="53"/>
      <c r="F899" s="53"/>
      <c r="G899" s="53"/>
      <c r="H899" s="53"/>
      <c r="I899" s="53"/>
      <c r="J899" s="53"/>
      <c r="K899" s="53"/>
    </row>
    <row r="900">
      <c r="B900" s="52"/>
      <c r="C900" s="53"/>
      <c r="D900" s="53"/>
      <c r="E900" s="53"/>
      <c r="F900" s="53"/>
      <c r="G900" s="53"/>
      <c r="H900" s="53"/>
      <c r="I900" s="53"/>
      <c r="J900" s="53"/>
      <c r="K900" s="53"/>
    </row>
    <row r="901">
      <c r="B901" s="52"/>
      <c r="C901" s="53"/>
      <c r="D901" s="53"/>
      <c r="E901" s="53"/>
      <c r="F901" s="53"/>
      <c r="G901" s="53"/>
      <c r="H901" s="53"/>
      <c r="I901" s="53"/>
      <c r="J901" s="53"/>
      <c r="K901" s="53"/>
    </row>
    <row r="902">
      <c r="B902" s="52"/>
      <c r="C902" s="53"/>
      <c r="D902" s="53"/>
      <c r="E902" s="53"/>
      <c r="F902" s="53"/>
      <c r="G902" s="53"/>
      <c r="H902" s="53"/>
      <c r="I902" s="53"/>
      <c r="J902" s="53"/>
      <c r="K902" s="53"/>
    </row>
    <row r="903">
      <c r="B903" s="52"/>
      <c r="C903" s="53"/>
      <c r="D903" s="53"/>
      <c r="E903" s="53"/>
      <c r="F903" s="53"/>
      <c r="G903" s="53"/>
      <c r="H903" s="53"/>
      <c r="I903" s="53"/>
      <c r="J903" s="53"/>
      <c r="K903" s="53"/>
    </row>
    <row r="904">
      <c r="B904" s="52"/>
      <c r="C904" s="53"/>
      <c r="D904" s="53"/>
      <c r="E904" s="53"/>
      <c r="F904" s="53"/>
      <c r="G904" s="53"/>
      <c r="H904" s="53"/>
      <c r="I904" s="53"/>
      <c r="J904" s="53"/>
      <c r="K904" s="53"/>
    </row>
    <row r="905">
      <c r="B905" s="52"/>
      <c r="C905" s="53"/>
      <c r="D905" s="53"/>
      <c r="E905" s="53"/>
      <c r="F905" s="53"/>
      <c r="G905" s="53"/>
      <c r="H905" s="53"/>
      <c r="I905" s="53"/>
      <c r="J905" s="53"/>
      <c r="K905" s="53"/>
    </row>
    <row r="906">
      <c r="B906" s="52"/>
      <c r="C906" s="53"/>
      <c r="D906" s="53"/>
      <c r="E906" s="53"/>
      <c r="F906" s="53"/>
      <c r="G906" s="53"/>
      <c r="H906" s="53"/>
      <c r="I906" s="53"/>
      <c r="J906" s="53"/>
      <c r="K906" s="53"/>
    </row>
    <row r="907">
      <c r="B907" s="52"/>
      <c r="C907" s="53"/>
      <c r="D907" s="53"/>
      <c r="E907" s="53"/>
      <c r="F907" s="53"/>
      <c r="G907" s="53"/>
      <c r="H907" s="53"/>
      <c r="I907" s="53"/>
      <c r="J907" s="53"/>
      <c r="K907" s="53"/>
    </row>
    <row r="908">
      <c r="B908" s="52"/>
      <c r="C908" s="53"/>
      <c r="D908" s="53"/>
      <c r="E908" s="53"/>
      <c r="F908" s="53"/>
      <c r="G908" s="53"/>
      <c r="H908" s="53"/>
      <c r="I908" s="53"/>
      <c r="J908" s="53"/>
      <c r="K908" s="53"/>
    </row>
    <row r="909">
      <c r="B909" s="52"/>
      <c r="C909" s="53"/>
      <c r="D909" s="53"/>
      <c r="E909" s="53"/>
      <c r="F909" s="53"/>
      <c r="G909" s="53"/>
      <c r="H909" s="53"/>
      <c r="I909" s="53"/>
      <c r="J909" s="53"/>
      <c r="K909" s="53"/>
    </row>
    <row r="910">
      <c r="B910" s="52"/>
      <c r="C910" s="53"/>
      <c r="D910" s="53"/>
      <c r="E910" s="53"/>
      <c r="F910" s="53"/>
      <c r="G910" s="53"/>
      <c r="H910" s="53"/>
      <c r="I910" s="53"/>
      <c r="J910" s="53"/>
      <c r="K910" s="53"/>
    </row>
    <row r="911">
      <c r="B911" s="52"/>
      <c r="C911" s="53"/>
      <c r="D911" s="53"/>
      <c r="E911" s="53"/>
      <c r="F911" s="53"/>
      <c r="G911" s="53"/>
      <c r="H911" s="53"/>
      <c r="I911" s="53"/>
      <c r="J911" s="53"/>
      <c r="K911" s="53"/>
    </row>
    <row r="912">
      <c r="B912" s="52"/>
      <c r="C912" s="53"/>
      <c r="D912" s="53"/>
      <c r="E912" s="53"/>
      <c r="F912" s="53"/>
      <c r="G912" s="53"/>
      <c r="H912" s="53"/>
      <c r="I912" s="53"/>
      <c r="J912" s="53"/>
      <c r="K912" s="53"/>
    </row>
    <row r="913">
      <c r="B913" s="52"/>
      <c r="C913" s="53"/>
      <c r="D913" s="53"/>
      <c r="E913" s="53"/>
      <c r="F913" s="53"/>
      <c r="G913" s="53"/>
      <c r="H913" s="53"/>
      <c r="I913" s="53"/>
      <c r="J913" s="53"/>
      <c r="K913" s="53"/>
    </row>
    <row r="914">
      <c r="B914" s="52"/>
      <c r="C914" s="53"/>
      <c r="D914" s="53"/>
      <c r="E914" s="53"/>
      <c r="F914" s="53"/>
      <c r="G914" s="53"/>
      <c r="H914" s="53"/>
      <c r="I914" s="53"/>
      <c r="J914" s="53"/>
      <c r="K914" s="53"/>
    </row>
    <row r="915">
      <c r="B915" s="52"/>
      <c r="C915" s="53"/>
      <c r="D915" s="53"/>
      <c r="E915" s="53"/>
      <c r="F915" s="53"/>
      <c r="G915" s="53"/>
      <c r="H915" s="53"/>
      <c r="I915" s="53"/>
      <c r="J915" s="53"/>
      <c r="K915" s="53"/>
    </row>
    <row r="916">
      <c r="B916" s="52"/>
      <c r="C916" s="53"/>
      <c r="D916" s="53"/>
      <c r="E916" s="53"/>
      <c r="F916" s="53"/>
      <c r="G916" s="53"/>
      <c r="H916" s="53"/>
      <c r="I916" s="53"/>
      <c r="J916" s="53"/>
      <c r="K916" s="53"/>
    </row>
    <row r="917">
      <c r="B917" s="52"/>
      <c r="C917" s="53"/>
      <c r="D917" s="53"/>
      <c r="E917" s="53"/>
      <c r="F917" s="53"/>
      <c r="G917" s="53"/>
      <c r="H917" s="53"/>
      <c r="I917" s="53"/>
      <c r="J917" s="53"/>
      <c r="K917" s="53"/>
    </row>
    <row r="918">
      <c r="B918" s="52"/>
      <c r="C918" s="53"/>
      <c r="D918" s="53"/>
      <c r="E918" s="53"/>
      <c r="F918" s="53"/>
      <c r="G918" s="53"/>
      <c r="H918" s="53"/>
      <c r="I918" s="53"/>
      <c r="J918" s="53"/>
      <c r="K918" s="53"/>
    </row>
    <row r="919">
      <c r="B919" s="52"/>
      <c r="C919" s="53"/>
      <c r="D919" s="53"/>
      <c r="E919" s="53"/>
      <c r="F919" s="53"/>
      <c r="G919" s="53"/>
      <c r="H919" s="53"/>
      <c r="I919" s="53"/>
      <c r="J919" s="53"/>
      <c r="K919" s="53"/>
    </row>
    <row r="920">
      <c r="B920" s="52"/>
      <c r="C920" s="53"/>
      <c r="D920" s="53"/>
      <c r="E920" s="53"/>
      <c r="F920" s="53"/>
      <c r="G920" s="53"/>
      <c r="H920" s="53"/>
      <c r="I920" s="53"/>
      <c r="J920" s="53"/>
      <c r="K920" s="53"/>
    </row>
    <row r="921">
      <c r="B921" s="52"/>
      <c r="C921" s="53"/>
      <c r="D921" s="53"/>
      <c r="E921" s="53"/>
      <c r="F921" s="53"/>
      <c r="G921" s="53"/>
      <c r="H921" s="53"/>
      <c r="I921" s="53"/>
      <c r="J921" s="53"/>
      <c r="K921" s="53"/>
    </row>
    <row r="922">
      <c r="B922" s="52"/>
      <c r="C922" s="53"/>
      <c r="D922" s="53"/>
      <c r="E922" s="53"/>
      <c r="F922" s="53"/>
      <c r="G922" s="53"/>
      <c r="H922" s="53"/>
      <c r="I922" s="53"/>
      <c r="J922" s="53"/>
      <c r="K922" s="53"/>
    </row>
    <row r="923">
      <c r="B923" s="52"/>
      <c r="C923" s="53"/>
      <c r="D923" s="53"/>
      <c r="E923" s="53"/>
      <c r="F923" s="53"/>
      <c r="G923" s="53"/>
      <c r="H923" s="53"/>
      <c r="I923" s="53"/>
      <c r="J923" s="53"/>
      <c r="K923" s="53"/>
    </row>
    <row r="924">
      <c r="B924" s="52"/>
      <c r="C924" s="53"/>
      <c r="D924" s="53"/>
      <c r="E924" s="53"/>
      <c r="F924" s="53"/>
      <c r="G924" s="53"/>
      <c r="H924" s="53"/>
      <c r="I924" s="53"/>
      <c r="J924" s="53"/>
      <c r="K924" s="53"/>
    </row>
    <row r="925">
      <c r="B925" s="52"/>
      <c r="C925" s="53"/>
      <c r="D925" s="53"/>
      <c r="E925" s="53"/>
      <c r="F925" s="53"/>
      <c r="G925" s="53"/>
      <c r="H925" s="53"/>
      <c r="I925" s="53"/>
      <c r="J925" s="53"/>
      <c r="K925" s="53"/>
    </row>
    <row r="926">
      <c r="B926" s="52"/>
      <c r="C926" s="53"/>
      <c r="D926" s="53"/>
      <c r="E926" s="53"/>
      <c r="F926" s="53"/>
      <c r="G926" s="53"/>
      <c r="H926" s="53"/>
      <c r="I926" s="53"/>
      <c r="J926" s="53"/>
      <c r="K926" s="53"/>
    </row>
    <row r="927">
      <c r="B927" s="52"/>
      <c r="C927" s="53"/>
      <c r="D927" s="53"/>
      <c r="E927" s="53"/>
      <c r="F927" s="53"/>
      <c r="G927" s="53"/>
      <c r="H927" s="53"/>
      <c r="I927" s="53"/>
      <c r="J927" s="53"/>
      <c r="K927" s="53"/>
    </row>
    <row r="928">
      <c r="B928" s="52"/>
      <c r="C928" s="53"/>
      <c r="D928" s="53"/>
      <c r="E928" s="53"/>
      <c r="F928" s="53"/>
      <c r="G928" s="53"/>
      <c r="H928" s="53"/>
      <c r="I928" s="53"/>
      <c r="J928" s="53"/>
      <c r="K928" s="53"/>
    </row>
    <row r="929">
      <c r="B929" s="52"/>
      <c r="C929" s="53"/>
      <c r="D929" s="53"/>
      <c r="E929" s="53"/>
      <c r="F929" s="53"/>
      <c r="G929" s="53"/>
      <c r="H929" s="53"/>
      <c r="I929" s="53"/>
      <c r="J929" s="53"/>
      <c r="K929" s="53"/>
    </row>
    <row r="930">
      <c r="B930" s="52"/>
      <c r="C930" s="53"/>
      <c r="D930" s="53"/>
      <c r="E930" s="53"/>
      <c r="F930" s="53"/>
      <c r="G930" s="53"/>
      <c r="H930" s="53"/>
      <c r="I930" s="53"/>
      <c r="J930" s="53"/>
      <c r="K930" s="53"/>
    </row>
    <row r="931">
      <c r="B931" s="52"/>
      <c r="C931" s="53"/>
      <c r="D931" s="53"/>
      <c r="E931" s="53"/>
      <c r="F931" s="53"/>
      <c r="G931" s="53"/>
      <c r="H931" s="53"/>
      <c r="I931" s="53"/>
      <c r="J931" s="53"/>
      <c r="K931" s="53"/>
    </row>
    <row r="932">
      <c r="B932" s="52"/>
      <c r="C932" s="53"/>
      <c r="D932" s="53"/>
      <c r="E932" s="53"/>
      <c r="F932" s="53"/>
      <c r="G932" s="53"/>
      <c r="H932" s="53"/>
      <c r="I932" s="53"/>
      <c r="J932" s="53"/>
      <c r="K932" s="53"/>
    </row>
    <row r="933">
      <c r="B933" s="52"/>
      <c r="C933" s="53"/>
      <c r="D933" s="53"/>
      <c r="E933" s="53"/>
      <c r="F933" s="53"/>
      <c r="G933" s="53"/>
      <c r="H933" s="53"/>
      <c r="I933" s="53"/>
      <c r="J933" s="53"/>
      <c r="K933" s="53"/>
    </row>
    <row r="934">
      <c r="B934" s="52"/>
      <c r="C934" s="53"/>
      <c r="D934" s="53"/>
      <c r="E934" s="53"/>
      <c r="F934" s="53"/>
      <c r="G934" s="53"/>
      <c r="H934" s="53"/>
      <c r="I934" s="53"/>
      <c r="J934" s="53"/>
      <c r="K934" s="53"/>
    </row>
    <row r="935">
      <c r="B935" s="52"/>
      <c r="C935" s="53"/>
      <c r="D935" s="53"/>
      <c r="E935" s="53"/>
      <c r="F935" s="53"/>
      <c r="G935" s="53"/>
      <c r="H935" s="53"/>
      <c r="I935" s="53"/>
      <c r="J935" s="53"/>
      <c r="K935" s="53"/>
    </row>
    <row r="936">
      <c r="B936" s="52"/>
      <c r="C936" s="53"/>
      <c r="D936" s="53"/>
      <c r="E936" s="53"/>
      <c r="F936" s="53"/>
      <c r="G936" s="53"/>
      <c r="H936" s="53"/>
      <c r="I936" s="53"/>
      <c r="J936" s="53"/>
      <c r="K936" s="53"/>
    </row>
    <row r="937">
      <c r="B937" s="52"/>
      <c r="C937" s="53"/>
      <c r="D937" s="53"/>
      <c r="E937" s="53"/>
      <c r="F937" s="53"/>
      <c r="G937" s="53"/>
      <c r="H937" s="53"/>
      <c r="I937" s="53"/>
      <c r="J937" s="53"/>
      <c r="K937" s="53"/>
    </row>
    <row r="938">
      <c r="B938" s="52"/>
      <c r="C938" s="53"/>
      <c r="D938" s="53"/>
      <c r="E938" s="53"/>
      <c r="F938" s="53"/>
      <c r="G938" s="53"/>
      <c r="H938" s="53"/>
      <c r="I938" s="53"/>
      <c r="J938" s="53"/>
      <c r="K938" s="53"/>
    </row>
    <row r="939">
      <c r="B939" s="52"/>
      <c r="C939" s="53"/>
      <c r="D939" s="53"/>
      <c r="E939" s="53"/>
      <c r="F939" s="53"/>
      <c r="G939" s="53"/>
      <c r="H939" s="53"/>
      <c r="I939" s="53"/>
      <c r="J939" s="53"/>
      <c r="K939" s="53"/>
    </row>
    <row r="940">
      <c r="B940" s="52"/>
      <c r="C940" s="53"/>
      <c r="D940" s="53"/>
      <c r="E940" s="53"/>
      <c r="F940" s="53"/>
      <c r="G940" s="53"/>
      <c r="H940" s="53"/>
      <c r="I940" s="53"/>
      <c r="J940" s="53"/>
      <c r="K940" s="53"/>
    </row>
    <row r="941">
      <c r="B941" s="52"/>
      <c r="C941" s="53"/>
      <c r="D941" s="53"/>
      <c r="E941" s="53"/>
      <c r="F941" s="53"/>
      <c r="G941" s="53"/>
      <c r="H941" s="53"/>
      <c r="I941" s="53"/>
      <c r="J941" s="53"/>
      <c r="K941" s="53"/>
    </row>
    <row r="942">
      <c r="B942" s="52"/>
      <c r="C942" s="53"/>
      <c r="D942" s="53"/>
      <c r="E942" s="53"/>
      <c r="F942" s="53"/>
      <c r="G942" s="53"/>
      <c r="H942" s="53"/>
      <c r="I942" s="53"/>
      <c r="J942" s="53"/>
      <c r="K942" s="53"/>
    </row>
    <row r="943">
      <c r="B943" s="52"/>
      <c r="C943" s="53"/>
      <c r="D943" s="53"/>
      <c r="E943" s="53"/>
      <c r="F943" s="53"/>
      <c r="G943" s="53"/>
      <c r="H943" s="53"/>
      <c r="I943" s="53"/>
      <c r="J943" s="53"/>
      <c r="K943" s="53"/>
    </row>
    <row r="944">
      <c r="B944" s="52"/>
      <c r="C944" s="53"/>
      <c r="D944" s="53"/>
      <c r="E944" s="53"/>
      <c r="F944" s="53"/>
      <c r="G944" s="53"/>
      <c r="H944" s="53"/>
      <c r="I944" s="53"/>
      <c r="J944" s="53"/>
      <c r="K944" s="53"/>
    </row>
    <row r="945">
      <c r="B945" s="52"/>
      <c r="C945" s="53"/>
      <c r="D945" s="53"/>
      <c r="E945" s="53"/>
      <c r="F945" s="53"/>
      <c r="G945" s="53"/>
      <c r="H945" s="53"/>
      <c r="I945" s="53"/>
      <c r="J945" s="53"/>
      <c r="K945" s="53"/>
    </row>
    <row r="946">
      <c r="B946" s="52"/>
      <c r="C946" s="53"/>
      <c r="D946" s="53"/>
      <c r="E946" s="53"/>
      <c r="F946" s="53"/>
      <c r="G946" s="53"/>
      <c r="H946" s="53"/>
      <c r="I946" s="53"/>
      <c r="J946" s="53"/>
      <c r="K946" s="53"/>
    </row>
    <row r="947">
      <c r="B947" s="52"/>
      <c r="C947" s="53"/>
      <c r="D947" s="53"/>
      <c r="E947" s="53"/>
      <c r="F947" s="53"/>
      <c r="G947" s="53"/>
      <c r="H947" s="53"/>
      <c r="I947" s="53"/>
      <c r="J947" s="53"/>
      <c r="K947" s="53"/>
    </row>
    <row r="948">
      <c r="B948" s="52"/>
      <c r="C948" s="53"/>
      <c r="D948" s="53"/>
      <c r="E948" s="53"/>
      <c r="F948" s="53"/>
      <c r="G948" s="53"/>
      <c r="H948" s="53"/>
      <c r="I948" s="53"/>
      <c r="J948" s="53"/>
      <c r="K948" s="53"/>
    </row>
    <row r="949">
      <c r="B949" s="52"/>
      <c r="C949" s="53"/>
      <c r="D949" s="53"/>
      <c r="E949" s="53"/>
      <c r="F949" s="53"/>
      <c r="G949" s="53"/>
      <c r="H949" s="53"/>
      <c r="I949" s="53"/>
      <c r="J949" s="53"/>
      <c r="K949" s="53"/>
    </row>
    <row r="950">
      <c r="B950" s="52"/>
      <c r="C950" s="53"/>
      <c r="D950" s="53"/>
      <c r="E950" s="53"/>
      <c r="F950" s="53"/>
      <c r="G950" s="53"/>
      <c r="H950" s="53"/>
      <c r="I950" s="53"/>
      <c r="J950" s="53"/>
      <c r="K950" s="53"/>
    </row>
    <row r="951">
      <c r="B951" s="52"/>
      <c r="C951" s="53"/>
      <c r="D951" s="53"/>
      <c r="E951" s="53"/>
      <c r="F951" s="53"/>
      <c r="G951" s="53"/>
      <c r="H951" s="53"/>
      <c r="I951" s="53"/>
      <c r="J951" s="53"/>
      <c r="K951" s="53"/>
    </row>
    <row r="952">
      <c r="B952" s="52"/>
      <c r="C952" s="53"/>
      <c r="D952" s="53"/>
      <c r="E952" s="53"/>
      <c r="F952" s="53"/>
      <c r="G952" s="53"/>
      <c r="H952" s="53"/>
      <c r="I952" s="53"/>
      <c r="J952" s="53"/>
      <c r="K952" s="53"/>
    </row>
    <row r="953">
      <c r="B953" s="52"/>
      <c r="C953" s="53"/>
      <c r="D953" s="53"/>
      <c r="E953" s="53"/>
      <c r="F953" s="53"/>
      <c r="G953" s="53"/>
      <c r="H953" s="53"/>
      <c r="I953" s="53"/>
      <c r="J953" s="53"/>
      <c r="K953" s="53"/>
    </row>
    <row r="954">
      <c r="B954" s="52"/>
      <c r="C954" s="53"/>
      <c r="D954" s="53"/>
      <c r="E954" s="53"/>
      <c r="F954" s="53"/>
      <c r="G954" s="53"/>
      <c r="H954" s="53"/>
      <c r="I954" s="53"/>
      <c r="J954" s="53"/>
      <c r="K954" s="53"/>
    </row>
    <row r="955">
      <c r="B955" s="52"/>
      <c r="C955" s="53"/>
      <c r="D955" s="53"/>
      <c r="E955" s="53"/>
      <c r="F955" s="53"/>
      <c r="G955" s="53"/>
      <c r="H955" s="53"/>
      <c r="I955" s="53"/>
      <c r="J955" s="53"/>
      <c r="K955" s="53"/>
    </row>
    <row r="956">
      <c r="B956" s="52"/>
      <c r="C956" s="53"/>
      <c r="D956" s="53"/>
      <c r="E956" s="53"/>
      <c r="F956" s="53"/>
      <c r="G956" s="53"/>
      <c r="H956" s="53"/>
      <c r="I956" s="53"/>
      <c r="J956" s="53"/>
      <c r="K956" s="53"/>
    </row>
    <row r="957">
      <c r="B957" s="52"/>
      <c r="C957" s="53"/>
      <c r="D957" s="53"/>
      <c r="E957" s="53"/>
      <c r="F957" s="53"/>
      <c r="G957" s="53"/>
      <c r="H957" s="53"/>
      <c r="I957" s="53"/>
      <c r="J957" s="53"/>
      <c r="K957" s="53"/>
    </row>
    <row r="958">
      <c r="B958" s="52"/>
      <c r="C958" s="53"/>
      <c r="D958" s="53"/>
      <c r="E958" s="53"/>
      <c r="F958" s="53"/>
      <c r="G958" s="53"/>
      <c r="H958" s="53"/>
      <c r="I958" s="53"/>
      <c r="J958" s="53"/>
      <c r="K958" s="53"/>
    </row>
    <row r="959">
      <c r="B959" s="52"/>
      <c r="C959" s="53"/>
      <c r="D959" s="53"/>
      <c r="E959" s="53"/>
      <c r="F959" s="53"/>
      <c r="G959" s="53"/>
      <c r="H959" s="53"/>
      <c r="I959" s="53"/>
      <c r="J959" s="53"/>
      <c r="K959" s="53"/>
    </row>
    <row r="960">
      <c r="B960" s="52"/>
      <c r="C960" s="53"/>
      <c r="D960" s="53"/>
      <c r="E960" s="53"/>
      <c r="F960" s="53"/>
      <c r="G960" s="53"/>
      <c r="H960" s="53"/>
      <c r="I960" s="53"/>
      <c r="J960" s="53"/>
      <c r="K960" s="53"/>
    </row>
    <row r="961">
      <c r="B961" s="52"/>
      <c r="C961" s="53"/>
      <c r="D961" s="53"/>
      <c r="E961" s="53"/>
      <c r="F961" s="53"/>
      <c r="G961" s="53"/>
      <c r="H961" s="53"/>
      <c r="I961" s="53"/>
      <c r="J961" s="53"/>
      <c r="K961" s="53"/>
    </row>
    <row r="962">
      <c r="B962" s="52"/>
      <c r="C962" s="53"/>
      <c r="D962" s="53"/>
      <c r="E962" s="53"/>
      <c r="F962" s="53"/>
      <c r="G962" s="53"/>
      <c r="H962" s="53"/>
      <c r="I962" s="53"/>
      <c r="J962" s="53"/>
      <c r="K962" s="53"/>
    </row>
    <row r="963">
      <c r="B963" s="52"/>
      <c r="C963" s="53"/>
      <c r="D963" s="53"/>
      <c r="E963" s="53"/>
      <c r="F963" s="53"/>
      <c r="G963" s="53"/>
      <c r="H963" s="53"/>
      <c r="I963" s="53"/>
      <c r="J963" s="53"/>
      <c r="K963" s="53"/>
    </row>
    <row r="964">
      <c r="B964" s="52"/>
      <c r="C964" s="53"/>
      <c r="D964" s="53"/>
      <c r="E964" s="53"/>
      <c r="F964" s="53"/>
      <c r="G964" s="53"/>
      <c r="H964" s="53"/>
      <c r="I964" s="53"/>
      <c r="J964" s="53"/>
      <c r="K964" s="53"/>
    </row>
    <row r="965">
      <c r="B965" s="52"/>
      <c r="C965" s="53"/>
      <c r="D965" s="53"/>
      <c r="E965" s="53"/>
      <c r="F965" s="53"/>
      <c r="G965" s="53"/>
      <c r="H965" s="53"/>
      <c r="I965" s="53"/>
      <c r="J965" s="53"/>
      <c r="K965" s="53"/>
    </row>
    <row r="966">
      <c r="B966" s="52"/>
      <c r="C966" s="53"/>
      <c r="D966" s="53"/>
      <c r="E966" s="53"/>
      <c r="F966" s="53"/>
      <c r="G966" s="53"/>
      <c r="H966" s="53"/>
      <c r="I966" s="53"/>
      <c r="J966" s="53"/>
      <c r="K966" s="53"/>
    </row>
    <row r="967">
      <c r="B967" s="52"/>
      <c r="C967" s="53"/>
      <c r="D967" s="53"/>
      <c r="E967" s="53"/>
      <c r="F967" s="53"/>
      <c r="G967" s="53"/>
      <c r="H967" s="53"/>
      <c r="I967" s="53"/>
      <c r="J967" s="53"/>
      <c r="K967" s="53"/>
    </row>
    <row r="968">
      <c r="B968" s="52"/>
      <c r="C968" s="53"/>
      <c r="D968" s="53"/>
      <c r="E968" s="53"/>
      <c r="F968" s="53"/>
      <c r="G968" s="53"/>
      <c r="H968" s="53"/>
      <c r="I968" s="53"/>
      <c r="J968" s="53"/>
      <c r="K968" s="53"/>
    </row>
    <row r="969">
      <c r="B969" s="52"/>
      <c r="C969" s="53"/>
      <c r="D969" s="53"/>
      <c r="E969" s="53"/>
      <c r="F969" s="53"/>
      <c r="G969" s="53"/>
      <c r="H969" s="53"/>
      <c r="I969" s="53"/>
      <c r="J969" s="53"/>
      <c r="K969" s="53"/>
    </row>
    <row r="970">
      <c r="B970" s="52"/>
      <c r="C970" s="53"/>
      <c r="D970" s="53"/>
      <c r="E970" s="53"/>
      <c r="F970" s="53"/>
      <c r="G970" s="53"/>
      <c r="H970" s="53"/>
      <c r="I970" s="53"/>
      <c r="J970" s="53"/>
      <c r="K970" s="53"/>
    </row>
    <row r="971">
      <c r="B971" s="52"/>
      <c r="C971" s="53"/>
      <c r="D971" s="53"/>
      <c r="E971" s="53"/>
      <c r="F971" s="53"/>
      <c r="G971" s="53"/>
      <c r="H971" s="53"/>
      <c r="I971" s="53"/>
      <c r="J971" s="53"/>
      <c r="K971" s="53"/>
    </row>
    <row r="972">
      <c r="B972" s="52"/>
      <c r="C972" s="53"/>
      <c r="D972" s="53"/>
      <c r="E972" s="53"/>
      <c r="F972" s="53"/>
      <c r="G972" s="53"/>
      <c r="H972" s="53"/>
      <c r="I972" s="53"/>
      <c r="J972" s="53"/>
      <c r="K972" s="53"/>
    </row>
    <row r="973">
      <c r="B973" s="52"/>
      <c r="C973" s="53"/>
      <c r="D973" s="53"/>
      <c r="E973" s="53"/>
      <c r="F973" s="53"/>
      <c r="G973" s="53"/>
      <c r="H973" s="53"/>
      <c r="I973" s="53"/>
      <c r="J973" s="53"/>
      <c r="K973" s="53"/>
    </row>
    <row r="974">
      <c r="B974" s="52"/>
      <c r="C974" s="53"/>
      <c r="D974" s="53"/>
      <c r="E974" s="53"/>
      <c r="F974" s="53"/>
      <c r="G974" s="53"/>
      <c r="H974" s="53"/>
      <c r="I974" s="53"/>
      <c r="J974" s="53"/>
      <c r="K974" s="53"/>
    </row>
    <row r="975">
      <c r="B975" s="52"/>
      <c r="C975" s="53"/>
      <c r="D975" s="53"/>
      <c r="E975" s="53"/>
      <c r="F975" s="53"/>
      <c r="G975" s="53"/>
      <c r="H975" s="53"/>
      <c r="I975" s="53"/>
      <c r="J975" s="53"/>
      <c r="K975" s="53"/>
    </row>
    <row r="976">
      <c r="B976" s="52"/>
      <c r="C976" s="53"/>
      <c r="D976" s="53"/>
      <c r="E976" s="53"/>
      <c r="F976" s="53"/>
      <c r="G976" s="53"/>
      <c r="H976" s="53"/>
      <c r="I976" s="53"/>
      <c r="J976" s="53"/>
      <c r="K976" s="53"/>
    </row>
    <row r="977">
      <c r="B977" s="52"/>
      <c r="C977" s="53"/>
      <c r="D977" s="53"/>
      <c r="E977" s="53"/>
      <c r="F977" s="53"/>
      <c r="G977" s="53"/>
      <c r="H977" s="53"/>
      <c r="I977" s="53"/>
      <c r="J977" s="53"/>
      <c r="K977" s="53"/>
    </row>
    <row r="978">
      <c r="B978" s="52"/>
      <c r="C978" s="53"/>
      <c r="D978" s="53"/>
      <c r="E978" s="53"/>
      <c r="F978" s="53"/>
      <c r="G978" s="53"/>
      <c r="H978" s="53"/>
      <c r="I978" s="53"/>
      <c r="J978" s="53"/>
      <c r="K978" s="53"/>
    </row>
    <row r="979">
      <c r="B979" s="52"/>
      <c r="C979" s="53"/>
      <c r="D979" s="53"/>
      <c r="E979" s="53"/>
      <c r="F979" s="53"/>
      <c r="G979" s="53"/>
      <c r="H979" s="53"/>
      <c r="I979" s="53"/>
      <c r="J979" s="53"/>
      <c r="K979" s="53"/>
    </row>
    <row r="980">
      <c r="B980" s="52"/>
      <c r="C980" s="53"/>
      <c r="D980" s="53"/>
      <c r="E980" s="53"/>
      <c r="F980" s="53"/>
      <c r="G980" s="53"/>
      <c r="H980" s="53"/>
      <c r="I980" s="53"/>
      <c r="J980" s="53"/>
      <c r="K980" s="53"/>
    </row>
    <row r="981">
      <c r="B981" s="52"/>
      <c r="C981" s="53"/>
      <c r="D981" s="53"/>
      <c r="E981" s="53"/>
      <c r="F981" s="53"/>
      <c r="G981" s="53"/>
      <c r="H981" s="53"/>
      <c r="I981" s="53"/>
      <c r="J981" s="53"/>
      <c r="K981" s="53"/>
    </row>
    <row r="982">
      <c r="B982" s="52"/>
      <c r="C982" s="53"/>
      <c r="D982" s="53"/>
      <c r="E982" s="53"/>
      <c r="F982" s="53"/>
      <c r="G982" s="53"/>
      <c r="H982" s="53"/>
      <c r="I982" s="53"/>
      <c r="J982" s="53"/>
      <c r="K982" s="53"/>
    </row>
    <row r="983">
      <c r="B983" s="52"/>
      <c r="C983" s="53"/>
      <c r="D983" s="53"/>
      <c r="E983" s="53"/>
      <c r="F983" s="53"/>
      <c r="G983" s="53"/>
      <c r="H983" s="53"/>
      <c r="I983" s="53"/>
      <c r="J983" s="53"/>
      <c r="K983" s="53"/>
    </row>
    <row r="984">
      <c r="B984" s="52"/>
      <c r="C984" s="53"/>
      <c r="D984" s="53"/>
      <c r="E984" s="53"/>
      <c r="F984" s="53"/>
      <c r="G984" s="53"/>
      <c r="H984" s="53"/>
      <c r="I984" s="53"/>
      <c r="J984" s="53"/>
      <c r="K984" s="53"/>
    </row>
    <row r="985">
      <c r="B985" s="52"/>
      <c r="C985" s="53"/>
      <c r="D985" s="53"/>
      <c r="E985" s="53"/>
      <c r="F985" s="53"/>
      <c r="G985" s="53"/>
      <c r="H985" s="53"/>
      <c r="I985" s="53"/>
      <c r="J985" s="53"/>
      <c r="K985" s="53"/>
    </row>
    <row r="986">
      <c r="B986" s="52"/>
      <c r="C986" s="53"/>
      <c r="D986" s="53"/>
      <c r="E986" s="53"/>
      <c r="F986" s="53"/>
      <c r="G986" s="53"/>
      <c r="H986" s="53"/>
      <c r="I986" s="53"/>
      <c r="J986" s="53"/>
      <c r="K986" s="53"/>
    </row>
    <row r="987">
      <c r="B987" s="52"/>
      <c r="C987" s="53"/>
      <c r="D987" s="53"/>
      <c r="E987" s="53"/>
      <c r="F987" s="53"/>
      <c r="G987" s="53"/>
      <c r="H987" s="53"/>
      <c r="I987" s="53"/>
      <c r="J987" s="53"/>
      <c r="K987" s="53"/>
    </row>
    <row r="988">
      <c r="B988" s="52"/>
      <c r="C988" s="53"/>
      <c r="D988" s="53"/>
      <c r="E988" s="53"/>
      <c r="F988" s="53"/>
      <c r="G988" s="53"/>
      <c r="H988" s="53"/>
      <c r="I988" s="53"/>
      <c r="J988" s="53"/>
      <c r="K988" s="53"/>
    </row>
    <row r="989">
      <c r="B989" s="52"/>
      <c r="C989" s="53"/>
      <c r="D989" s="53"/>
      <c r="E989" s="53"/>
      <c r="F989" s="53"/>
      <c r="G989" s="53"/>
      <c r="H989" s="53"/>
      <c r="I989" s="53"/>
      <c r="J989" s="53"/>
      <c r="K989" s="53"/>
    </row>
    <row r="990">
      <c r="B990" s="52"/>
      <c r="C990" s="53"/>
      <c r="D990" s="53"/>
      <c r="E990" s="53"/>
      <c r="F990" s="53"/>
      <c r="G990" s="53"/>
      <c r="H990" s="53"/>
      <c r="I990" s="53"/>
      <c r="J990" s="53"/>
      <c r="K990" s="53"/>
    </row>
    <row r="991">
      <c r="B991" s="52"/>
      <c r="C991" s="53"/>
      <c r="D991" s="53"/>
      <c r="E991" s="53"/>
      <c r="F991" s="53"/>
      <c r="G991" s="53"/>
      <c r="H991" s="53"/>
      <c r="I991" s="53"/>
      <c r="J991" s="53"/>
      <c r="K991" s="53"/>
    </row>
    <row r="992">
      <c r="B992" s="52"/>
      <c r="C992" s="53"/>
      <c r="D992" s="53"/>
      <c r="E992" s="53"/>
      <c r="F992" s="53"/>
      <c r="G992" s="53"/>
      <c r="H992" s="53"/>
      <c r="I992" s="53"/>
      <c r="J992" s="53"/>
      <c r="K992" s="53"/>
    </row>
    <row r="993">
      <c r="B993" s="52"/>
      <c r="C993" s="53"/>
      <c r="D993" s="53"/>
      <c r="E993" s="53"/>
      <c r="F993" s="53"/>
      <c r="G993" s="53"/>
      <c r="H993" s="53"/>
      <c r="I993" s="53"/>
      <c r="J993" s="53"/>
      <c r="K993" s="53"/>
    </row>
    <row r="994">
      <c r="B994" s="52"/>
      <c r="C994" s="53"/>
      <c r="D994" s="53"/>
      <c r="E994" s="53"/>
      <c r="F994" s="53"/>
      <c r="G994" s="53"/>
      <c r="H994" s="53"/>
      <c r="I994" s="53"/>
      <c r="J994" s="53"/>
      <c r="K994" s="53"/>
    </row>
    <row r="995">
      <c r="B995" s="52"/>
      <c r="C995" s="53"/>
      <c r="D995" s="53"/>
      <c r="E995" s="53"/>
      <c r="F995" s="53"/>
      <c r="G995" s="53"/>
      <c r="H995" s="53"/>
      <c r="I995" s="53"/>
      <c r="J995" s="53"/>
      <c r="K995" s="53"/>
    </row>
    <row r="996">
      <c r="B996" s="52"/>
      <c r="C996" s="53"/>
      <c r="D996" s="53"/>
      <c r="E996" s="53"/>
      <c r="F996" s="53"/>
      <c r="G996" s="53"/>
      <c r="H996" s="53"/>
      <c r="I996" s="53"/>
      <c r="J996" s="53"/>
      <c r="K996" s="53"/>
    </row>
    <row r="997">
      <c r="B997" s="52"/>
      <c r="C997" s="53"/>
      <c r="D997" s="53"/>
      <c r="E997" s="53"/>
      <c r="F997" s="53"/>
      <c r="G997" s="53"/>
      <c r="H997" s="53"/>
      <c r="I997" s="53"/>
      <c r="J997" s="53"/>
      <c r="K997" s="53"/>
    </row>
    <row r="998">
      <c r="B998" s="52"/>
      <c r="C998" s="53"/>
      <c r="D998" s="53"/>
      <c r="E998" s="53"/>
      <c r="F998" s="53"/>
      <c r="G998" s="53"/>
      <c r="H998" s="53"/>
      <c r="I998" s="53"/>
      <c r="J998" s="53"/>
      <c r="K998" s="53"/>
    </row>
    <row r="999">
      <c r="B999" s="52"/>
      <c r="C999" s="53"/>
      <c r="D999" s="53"/>
      <c r="E999" s="53"/>
      <c r="F999" s="53"/>
      <c r="G999" s="53"/>
      <c r="H999" s="53"/>
      <c r="I999" s="53"/>
      <c r="J999" s="53"/>
      <c r="K999" s="53"/>
    </row>
    <row r="1000">
      <c r="B1000" s="52"/>
      <c r="C1000" s="53"/>
      <c r="D1000" s="53"/>
      <c r="E1000" s="53"/>
      <c r="F1000" s="53"/>
      <c r="G1000" s="53"/>
      <c r="H1000" s="53"/>
      <c r="I1000" s="53"/>
      <c r="J1000" s="53"/>
      <c r="K1000" s="53"/>
    </row>
    <row r="1001">
      <c r="B1001" s="52"/>
      <c r="C1001" s="53"/>
      <c r="D1001" s="53"/>
      <c r="E1001" s="53"/>
      <c r="F1001" s="53"/>
      <c r="G1001" s="53"/>
      <c r="H1001" s="53"/>
      <c r="I1001" s="53"/>
      <c r="J1001" s="53"/>
      <c r="K1001" s="53"/>
    </row>
    <row r="1002">
      <c r="B1002" s="52"/>
      <c r="C1002" s="53"/>
      <c r="D1002" s="53"/>
      <c r="E1002" s="53"/>
      <c r="F1002" s="53"/>
      <c r="G1002" s="53"/>
      <c r="H1002" s="53"/>
      <c r="I1002" s="53"/>
      <c r="J1002" s="53"/>
      <c r="K1002" s="53"/>
    </row>
    <row r="1003">
      <c r="B1003" s="52"/>
      <c r="C1003" s="53"/>
      <c r="D1003" s="53"/>
      <c r="E1003" s="53"/>
      <c r="F1003" s="53"/>
      <c r="G1003" s="53"/>
      <c r="H1003" s="53"/>
      <c r="I1003" s="53"/>
      <c r="J1003" s="53"/>
      <c r="K1003" s="53"/>
    </row>
    <row r="1004">
      <c r="B1004" s="52"/>
      <c r="C1004" s="53"/>
      <c r="D1004" s="53"/>
      <c r="E1004" s="53"/>
      <c r="F1004" s="53"/>
      <c r="G1004" s="53"/>
      <c r="H1004" s="53"/>
      <c r="I1004" s="53"/>
      <c r="J1004" s="53"/>
      <c r="K1004" s="53"/>
    </row>
    <row r="1005">
      <c r="B1005" s="52"/>
      <c r="C1005" s="53"/>
      <c r="D1005" s="53"/>
      <c r="E1005" s="53"/>
      <c r="F1005" s="53"/>
      <c r="G1005" s="53"/>
      <c r="H1005" s="53"/>
      <c r="I1005" s="53"/>
      <c r="J1005" s="53"/>
      <c r="K1005" s="53"/>
    </row>
    <row r="1006">
      <c r="B1006" s="52"/>
      <c r="C1006" s="53"/>
      <c r="D1006" s="53"/>
      <c r="E1006" s="53"/>
      <c r="F1006" s="53"/>
      <c r="G1006" s="53"/>
      <c r="H1006" s="53"/>
      <c r="I1006" s="53"/>
      <c r="J1006" s="53"/>
      <c r="K1006" s="53"/>
    </row>
  </sheetData>
  <mergeCells count="2">
    <mergeCell ref="A2:A8"/>
    <mergeCell ref="A16:A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75"/>
    <col customWidth="1" min="3" max="3" width="9.0"/>
    <col customWidth="1" min="4" max="4" width="22.63"/>
    <col customWidth="1" min="5" max="5" width="7.25"/>
    <col customWidth="1" min="6" max="7" width="12.13"/>
    <col customWidth="1" min="8" max="8" width="18.38"/>
    <col customWidth="1" min="9" max="9" width="34.0"/>
    <col customWidth="1" min="10" max="10" width="8.5"/>
    <col customWidth="1" min="11" max="11" width="13.63"/>
    <col customWidth="1" min="12" max="12" width="11.13"/>
    <col customWidth="1" min="13" max="14" width="14.25"/>
    <col customWidth="1" hidden="1" min="15" max="15" width="14.25"/>
    <col customWidth="1" min="16" max="19" width="14.25"/>
    <col customWidth="1" min="20" max="20" width="9.25"/>
    <col customWidth="1" min="21" max="21" width="10.5"/>
    <col customWidth="1" min="22" max="37" width="9.25"/>
    <col customWidth="1" min="38" max="38" width="22.13"/>
    <col customWidth="1" min="39" max="39" width="9.88"/>
    <col customWidth="1" min="40" max="40" width="9.25"/>
    <col customWidth="1" min="41" max="41" width="26.63"/>
    <col customWidth="1" min="42" max="42" width="35.63"/>
    <col customWidth="1" min="43" max="43" width="36.88"/>
    <col customWidth="1" min="44" max="44" width="43.25"/>
  </cols>
  <sheetData>
    <row r="1">
      <c r="A1" s="54" t="s">
        <v>1</v>
      </c>
      <c r="B1" s="54" t="s">
        <v>34</v>
      </c>
      <c r="C1" s="54" t="s">
        <v>35</v>
      </c>
      <c r="D1" s="54" t="s">
        <v>36</v>
      </c>
      <c r="E1" s="54" t="s">
        <v>37</v>
      </c>
      <c r="F1" s="54" t="s">
        <v>38</v>
      </c>
      <c r="G1" s="54" t="s">
        <v>39</v>
      </c>
      <c r="H1" s="54" t="s">
        <v>40</v>
      </c>
      <c r="I1" s="54" t="s">
        <v>41</v>
      </c>
      <c r="J1" s="54" t="s">
        <v>42</v>
      </c>
      <c r="K1" s="54" t="s">
        <v>3</v>
      </c>
      <c r="L1" s="54" t="s">
        <v>43</v>
      </c>
      <c r="M1" s="54" t="s">
        <v>4</v>
      </c>
      <c r="N1" s="54" t="s">
        <v>5</v>
      </c>
      <c r="O1" s="54" t="s">
        <v>44</v>
      </c>
      <c r="P1" s="54" t="s">
        <v>6</v>
      </c>
      <c r="Q1" s="54" t="s">
        <v>7</v>
      </c>
      <c r="R1" s="54" t="s">
        <v>8</v>
      </c>
      <c r="S1" s="54" t="s">
        <v>9</v>
      </c>
      <c r="T1" s="55" t="s">
        <v>45</v>
      </c>
      <c r="U1" s="55" t="s">
        <v>46</v>
      </c>
      <c r="V1" s="55" t="s">
        <v>47</v>
      </c>
      <c r="W1" s="55" t="s">
        <v>48</v>
      </c>
      <c r="X1" s="55" t="s">
        <v>49</v>
      </c>
      <c r="Y1" s="55" t="s">
        <v>50</v>
      </c>
      <c r="Z1" s="55" t="s">
        <v>51</v>
      </c>
      <c r="AA1" s="55" t="s">
        <v>52</v>
      </c>
      <c r="AB1" s="56"/>
      <c r="AC1" s="56"/>
      <c r="AD1" s="57" t="s">
        <v>53</v>
      </c>
      <c r="AE1" s="57" t="s">
        <v>53</v>
      </c>
      <c r="AF1" s="58"/>
      <c r="AG1" s="57" t="s">
        <v>53</v>
      </c>
      <c r="AH1" s="57" t="s">
        <v>53</v>
      </c>
      <c r="AI1" s="57" t="s">
        <v>53</v>
      </c>
      <c r="AJ1" s="57" t="s">
        <v>53</v>
      </c>
      <c r="AK1" s="56"/>
      <c r="AL1" s="56"/>
      <c r="AM1" s="57" t="s">
        <v>53</v>
      </c>
      <c r="AO1" s="56"/>
      <c r="AP1" s="56"/>
      <c r="AQ1" s="56"/>
      <c r="AR1" s="56"/>
    </row>
    <row r="2">
      <c r="A2" s="59" t="s">
        <v>54</v>
      </c>
      <c r="B2" s="59"/>
      <c r="C2" s="59" t="s">
        <v>55</v>
      </c>
      <c r="D2" s="60" t="s">
        <v>56</v>
      </c>
      <c r="E2" s="61">
        <v>24.0</v>
      </c>
      <c r="F2" s="61">
        <v>4764.0</v>
      </c>
      <c r="G2" s="61">
        <v>4566.0</v>
      </c>
      <c r="H2" s="62">
        <v>0.09311342592592593</v>
      </c>
      <c r="I2" s="61">
        <v>58.0</v>
      </c>
      <c r="J2" s="63">
        <f t="shared" ref="J2:J110" si="3">I2/E2</f>
        <v>2.416666667</v>
      </c>
      <c r="K2" s="63">
        <v>79.15</v>
      </c>
      <c r="L2" s="61" t="str">
        <f t="shared" ref="L2:L109" si="4">IF(K2&lt;80,"L80",IF(K2&lt;=85,"81-85",IF(K2&lt;=90,"85-90",IF(K2&lt;=95,"91-95","G95%"))))</f>
        <v>L80</v>
      </c>
      <c r="M2" s="63">
        <v>68.71</v>
      </c>
      <c r="N2" s="63">
        <v>73.15</v>
      </c>
      <c r="O2" s="63"/>
      <c r="P2" s="63">
        <v>82.15</v>
      </c>
      <c r="Q2" s="63">
        <v>88.49</v>
      </c>
      <c r="R2" s="63">
        <v>9.38</v>
      </c>
      <c r="S2" s="63">
        <v>86.88</v>
      </c>
      <c r="T2" s="58"/>
      <c r="U2" s="58"/>
      <c r="V2" s="58"/>
      <c r="W2" s="58"/>
      <c r="X2" s="58"/>
      <c r="Y2" s="58"/>
      <c r="Z2" s="58"/>
      <c r="AA2" s="58"/>
      <c r="AB2" s="58"/>
      <c r="AC2" s="58"/>
      <c r="AD2" s="58">
        <f t="shared" ref="AD2:AE2" si="1">CORREL(M2:M110,$J$2:$J$110)</f>
        <v>0.1817588964</v>
      </c>
      <c r="AE2" s="58">
        <f t="shared" si="1"/>
        <v>0.1881542129</v>
      </c>
      <c r="AF2" s="58"/>
      <c r="AG2" s="58">
        <f t="shared" ref="AG2:AJ2" si="2">CORREL(P2:P110,$J$2:$J$110)</f>
        <v>0.1618516724</v>
      </c>
      <c r="AH2" s="58">
        <f t="shared" si="2"/>
        <v>0.07103543094</v>
      </c>
      <c r="AI2" s="58">
        <f t="shared" si="2"/>
        <v>0.1092937758</v>
      </c>
      <c r="AJ2" s="58">
        <f t="shared" si="2"/>
        <v>0.03406330901</v>
      </c>
      <c r="AK2" s="58"/>
      <c r="AL2" s="58"/>
      <c r="AM2" s="58">
        <f>CORREL(K2:K109,J2:J109)</f>
        <v>0.1677937074</v>
      </c>
      <c r="AN2" s="58">
        <f>CORREL(J:J,K:K)</f>
        <v>0.1842457494</v>
      </c>
      <c r="AO2" s="58"/>
      <c r="AP2" s="58"/>
      <c r="AQ2" s="58"/>
      <c r="AR2" s="58"/>
    </row>
    <row r="3">
      <c r="A3" s="59" t="s">
        <v>54</v>
      </c>
      <c r="B3" s="59"/>
      <c r="C3" s="59">
        <v>22432.0</v>
      </c>
      <c r="D3" s="60" t="s">
        <v>57</v>
      </c>
      <c r="E3" s="61">
        <v>24.0</v>
      </c>
      <c r="F3" s="61">
        <v>5141.0</v>
      </c>
      <c r="G3" s="61">
        <v>4841.0</v>
      </c>
      <c r="H3" s="62">
        <v>0.13533564814814814</v>
      </c>
      <c r="I3" s="61">
        <v>135.0</v>
      </c>
      <c r="J3" s="63">
        <f t="shared" si="3"/>
        <v>5.625</v>
      </c>
      <c r="K3" s="63">
        <v>79.83</v>
      </c>
      <c r="L3" s="61" t="str">
        <f t="shared" si="4"/>
        <v>L80</v>
      </c>
      <c r="M3" s="63">
        <v>71.92</v>
      </c>
      <c r="N3" s="63">
        <v>72.84</v>
      </c>
      <c r="O3" s="63"/>
      <c r="P3" s="63">
        <v>80.09</v>
      </c>
      <c r="Q3" s="63">
        <v>86.98</v>
      </c>
      <c r="R3" s="63">
        <v>10.0</v>
      </c>
      <c r="S3" s="63">
        <v>85.23</v>
      </c>
      <c r="T3" s="56"/>
      <c r="U3" s="64" t="s">
        <v>58</v>
      </c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65"/>
      <c r="AO3" s="56"/>
      <c r="AP3" s="56"/>
      <c r="AQ3" s="56"/>
      <c r="AR3" s="56"/>
    </row>
    <row r="4">
      <c r="A4" s="59" t="s">
        <v>54</v>
      </c>
      <c r="B4" s="59"/>
      <c r="C4" s="59" t="s">
        <v>59</v>
      </c>
      <c r="D4" s="60" t="s">
        <v>60</v>
      </c>
      <c r="E4" s="61">
        <v>18.0</v>
      </c>
      <c r="F4" s="61">
        <v>2976.0</v>
      </c>
      <c r="G4" s="61">
        <v>2893.0</v>
      </c>
      <c r="H4" s="62">
        <v>0.08815972222222222</v>
      </c>
      <c r="I4" s="61">
        <v>37.0</v>
      </c>
      <c r="J4" s="63">
        <f t="shared" si="3"/>
        <v>2.055555556</v>
      </c>
      <c r="K4" s="63">
        <v>80.53</v>
      </c>
      <c r="L4" s="61" t="str">
        <f t="shared" si="4"/>
        <v>81-85</v>
      </c>
      <c r="M4" s="63">
        <v>73.13</v>
      </c>
      <c r="N4" s="63">
        <v>73.77</v>
      </c>
      <c r="O4" s="63"/>
      <c r="P4" s="63">
        <v>82.18</v>
      </c>
      <c r="Q4" s="63">
        <v>86.96</v>
      </c>
      <c r="R4" s="63">
        <v>0.0</v>
      </c>
      <c r="S4" s="63">
        <v>87.4</v>
      </c>
      <c r="T4" s="56"/>
      <c r="U4" s="64" t="s">
        <v>61</v>
      </c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65"/>
      <c r="AO4" s="56"/>
      <c r="AP4" s="56"/>
      <c r="AQ4" s="56"/>
      <c r="AR4" s="56"/>
    </row>
    <row r="5">
      <c r="A5" s="59" t="s">
        <v>54</v>
      </c>
      <c r="B5" s="59"/>
      <c r="C5" s="59" t="s">
        <v>62</v>
      </c>
      <c r="D5" s="60" t="s">
        <v>63</v>
      </c>
      <c r="E5" s="61">
        <v>25.0</v>
      </c>
      <c r="F5" s="61">
        <v>4573.0</v>
      </c>
      <c r="G5" s="61">
        <v>4324.0</v>
      </c>
      <c r="H5" s="62">
        <v>0.11049768518518518</v>
      </c>
      <c r="I5" s="61">
        <v>89.0</v>
      </c>
      <c r="J5" s="63">
        <f t="shared" si="3"/>
        <v>3.56</v>
      </c>
      <c r="K5" s="63">
        <v>82.25</v>
      </c>
      <c r="L5" s="61" t="str">
        <f t="shared" si="4"/>
        <v>81-85</v>
      </c>
      <c r="M5" s="63">
        <v>71.5</v>
      </c>
      <c r="N5" s="63">
        <v>77.72</v>
      </c>
      <c r="O5" s="63"/>
      <c r="P5" s="63">
        <v>84.77</v>
      </c>
      <c r="Q5" s="63">
        <v>90.13</v>
      </c>
      <c r="R5" s="63">
        <v>0.0</v>
      </c>
      <c r="S5" s="63">
        <v>89.76</v>
      </c>
      <c r="T5" s="56"/>
      <c r="U5" s="64" t="s">
        <v>64</v>
      </c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65"/>
      <c r="AO5" s="56"/>
      <c r="AP5" s="56"/>
      <c r="AQ5" s="56"/>
      <c r="AR5" s="56"/>
    </row>
    <row r="6">
      <c r="A6" s="59" t="s">
        <v>54</v>
      </c>
      <c r="B6" s="59"/>
      <c r="C6" s="59" t="s">
        <v>65</v>
      </c>
      <c r="D6" s="60" t="s">
        <v>66</v>
      </c>
      <c r="E6" s="61">
        <v>20.0</v>
      </c>
      <c r="F6" s="61">
        <v>2923.0</v>
      </c>
      <c r="G6" s="61">
        <v>2858.0</v>
      </c>
      <c r="H6" s="62">
        <v>0.07186342592592593</v>
      </c>
      <c r="I6" s="61">
        <v>52.0</v>
      </c>
      <c r="J6" s="63">
        <f t="shared" si="3"/>
        <v>2.6</v>
      </c>
      <c r="K6" s="63">
        <v>82.28</v>
      </c>
      <c r="L6" s="61" t="str">
        <f t="shared" si="4"/>
        <v>81-85</v>
      </c>
      <c r="M6" s="63">
        <v>69.66</v>
      </c>
      <c r="N6" s="63">
        <v>75.9</v>
      </c>
      <c r="O6" s="63"/>
      <c r="P6" s="63">
        <v>84.7</v>
      </c>
      <c r="Q6" s="63">
        <v>89.03</v>
      </c>
      <c r="R6" s="63">
        <v>0.0</v>
      </c>
      <c r="S6" s="63">
        <v>90.2</v>
      </c>
      <c r="T6" s="56"/>
      <c r="U6" s="64" t="s">
        <v>67</v>
      </c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5"/>
      <c r="AM6" s="56"/>
      <c r="AN6" s="65"/>
      <c r="AO6" s="55"/>
      <c r="AP6" s="55"/>
      <c r="AQ6" s="55"/>
      <c r="AR6" s="55"/>
    </row>
    <row r="7">
      <c r="A7" s="59" t="s">
        <v>54</v>
      </c>
      <c r="B7" s="59"/>
      <c r="C7" s="59" t="s">
        <v>68</v>
      </c>
      <c r="D7" s="60" t="s">
        <v>69</v>
      </c>
      <c r="E7" s="61">
        <v>26.0</v>
      </c>
      <c r="F7" s="61">
        <v>5075.0</v>
      </c>
      <c r="G7" s="61">
        <v>4855.0</v>
      </c>
      <c r="H7" s="62">
        <v>0.09359953703703704</v>
      </c>
      <c r="I7" s="61">
        <v>71.0</v>
      </c>
      <c r="J7" s="63">
        <f t="shared" si="3"/>
        <v>2.730769231</v>
      </c>
      <c r="K7" s="63">
        <v>82.48</v>
      </c>
      <c r="L7" s="61" t="str">
        <f t="shared" si="4"/>
        <v>81-85</v>
      </c>
      <c r="M7" s="63">
        <v>72.1</v>
      </c>
      <c r="N7" s="63">
        <v>74.98</v>
      </c>
      <c r="O7" s="63"/>
      <c r="P7" s="63">
        <v>85.39</v>
      </c>
      <c r="Q7" s="63">
        <v>91.53</v>
      </c>
      <c r="R7" s="63">
        <v>20.0</v>
      </c>
      <c r="S7" s="63">
        <v>89.7</v>
      </c>
      <c r="T7" s="56"/>
      <c r="U7" s="64" t="s">
        <v>70</v>
      </c>
      <c r="V7" s="56"/>
      <c r="W7" s="56"/>
      <c r="X7" s="56"/>
      <c r="Y7" s="64" t="s">
        <v>71</v>
      </c>
      <c r="Z7" s="55" t="s">
        <v>72</v>
      </c>
      <c r="AA7" s="55" t="s">
        <v>73</v>
      </c>
      <c r="AB7" s="55" t="s">
        <v>74</v>
      </c>
      <c r="AC7" s="55" t="s">
        <v>75</v>
      </c>
      <c r="AD7" s="55" t="s">
        <v>76</v>
      </c>
      <c r="AE7" s="56"/>
      <c r="AF7" s="56"/>
      <c r="AG7" s="56"/>
      <c r="AH7" s="56"/>
      <c r="AI7" s="56"/>
      <c r="AJ7" s="56"/>
      <c r="AK7" s="56"/>
      <c r="AL7" s="55"/>
      <c r="AM7" s="56"/>
      <c r="AN7" s="65"/>
      <c r="AO7" s="55"/>
      <c r="AP7" s="56"/>
      <c r="AQ7" s="55"/>
      <c r="AR7" s="55"/>
    </row>
    <row r="8">
      <c r="A8" s="59" t="s">
        <v>54</v>
      </c>
      <c r="B8" s="59"/>
      <c r="C8" s="59" t="s">
        <v>77</v>
      </c>
      <c r="D8" s="60" t="s">
        <v>78</v>
      </c>
      <c r="E8" s="61">
        <v>24.0</v>
      </c>
      <c r="F8" s="61">
        <v>3477.0</v>
      </c>
      <c r="G8" s="61">
        <v>3351.0</v>
      </c>
      <c r="H8" s="62">
        <v>0.07452546296296296</v>
      </c>
      <c r="I8" s="61">
        <v>36.0</v>
      </c>
      <c r="J8" s="63">
        <f t="shared" si="3"/>
        <v>1.5</v>
      </c>
      <c r="K8" s="63">
        <v>82.64</v>
      </c>
      <c r="L8" s="61" t="str">
        <f t="shared" si="4"/>
        <v>81-85</v>
      </c>
      <c r="M8" s="63">
        <v>70.61</v>
      </c>
      <c r="N8" s="63">
        <v>75.96</v>
      </c>
      <c r="O8" s="63"/>
      <c r="P8" s="63">
        <v>86.68</v>
      </c>
      <c r="Q8" s="63">
        <v>90.36</v>
      </c>
      <c r="R8" s="63">
        <v>0.0</v>
      </c>
      <c r="S8" s="63">
        <v>91.12</v>
      </c>
      <c r="T8" s="56"/>
      <c r="U8" s="64" t="s">
        <v>79</v>
      </c>
      <c r="V8" s="56"/>
      <c r="W8" s="56"/>
      <c r="X8" s="56"/>
      <c r="Y8" s="64" t="s">
        <v>71</v>
      </c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5"/>
      <c r="AM8" s="56"/>
      <c r="AN8" s="65"/>
      <c r="AO8" s="55"/>
      <c r="AP8" s="56"/>
      <c r="AQ8" s="55"/>
      <c r="AR8" s="55"/>
    </row>
    <row r="9">
      <c r="A9" s="59" t="s">
        <v>54</v>
      </c>
      <c r="B9" s="59"/>
      <c r="C9" s="59" t="s">
        <v>80</v>
      </c>
      <c r="D9" s="60" t="s">
        <v>81</v>
      </c>
      <c r="E9" s="61">
        <v>26.0</v>
      </c>
      <c r="F9" s="61">
        <v>2809.0</v>
      </c>
      <c r="G9" s="61">
        <v>2602.0</v>
      </c>
      <c r="H9" s="62">
        <v>0.16751157407407408</v>
      </c>
      <c r="I9" s="61">
        <v>200.0</v>
      </c>
      <c r="J9" s="63">
        <f t="shared" si="3"/>
        <v>7.692307692</v>
      </c>
      <c r="K9" s="63">
        <v>82.86</v>
      </c>
      <c r="L9" s="61" t="str">
        <f t="shared" si="4"/>
        <v>81-85</v>
      </c>
      <c r="M9" s="63">
        <v>77.29</v>
      </c>
      <c r="N9" s="63">
        <v>76.17</v>
      </c>
      <c r="O9" s="63"/>
      <c r="P9" s="63">
        <v>84.72</v>
      </c>
      <c r="Q9" s="63">
        <v>89.01</v>
      </c>
      <c r="R9" s="63">
        <v>12.5</v>
      </c>
      <c r="S9" s="63">
        <v>87.57</v>
      </c>
      <c r="T9" s="56"/>
      <c r="U9" s="64" t="s">
        <v>82</v>
      </c>
      <c r="V9" s="56"/>
      <c r="W9" s="56"/>
      <c r="X9" s="56"/>
      <c r="Y9" s="64" t="s">
        <v>72</v>
      </c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5"/>
      <c r="AM9" s="56"/>
      <c r="AN9" s="65"/>
      <c r="AO9" s="55"/>
      <c r="AP9" s="56"/>
      <c r="AQ9" s="55"/>
      <c r="AR9" s="55"/>
    </row>
    <row r="10">
      <c r="A10" s="59" t="s">
        <v>54</v>
      </c>
      <c r="B10" s="59"/>
      <c r="C10" s="59">
        <v>22433.0</v>
      </c>
      <c r="D10" s="60" t="s">
        <v>83</v>
      </c>
      <c r="E10" s="61">
        <v>23.0</v>
      </c>
      <c r="F10" s="61">
        <v>4186.0</v>
      </c>
      <c r="G10" s="61">
        <v>3992.0</v>
      </c>
      <c r="H10" s="62">
        <v>0.09324074074074074</v>
      </c>
      <c r="I10" s="61">
        <v>74.0</v>
      </c>
      <c r="J10" s="63">
        <f t="shared" si="3"/>
        <v>3.217391304</v>
      </c>
      <c r="K10" s="63">
        <v>82.95</v>
      </c>
      <c r="L10" s="61" t="str">
        <f t="shared" si="4"/>
        <v>81-85</v>
      </c>
      <c r="M10" s="63">
        <v>74.86</v>
      </c>
      <c r="N10" s="63">
        <v>74.48</v>
      </c>
      <c r="O10" s="63"/>
      <c r="P10" s="63">
        <v>85.67</v>
      </c>
      <c r="Q10" s="63">
        <v>89.1</v>
      </c>
      <c r="R10" s="63">
        <v>0.0</v>
      </c>
      <c r="S10" s="63">
        <v>89.89</v>
      </c>
      <c r="T10" s="56"/>
      <c r="U10" s="64" t="s">
        <v>84</v>
      </c>
      <c r="V10" s="56"/>
      <c r="W10" s="56"/>
      <c r="X10" s="56"/>
      <c r="Y10" s="64" t="s">
        <v>73</v>
      </c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5"/>
      <c r="AM10" s="56"/>
      <c r="AN10" s="65"/>
      <c r="AO10" s="55"/>
      <c r="AP10" s="56"/>
      <c r="AQ10" s="55"/>
      <c r="AR10" s="55"/>
    </row>
    <row r="11">
      <c r="A11" s="59" t="s">
        <v>54</v>
      </c>
      <c r="B11" s="59"/>
      <c r="C11" s="59" t="s">
        <v>85</v>
      </c>
      <c r="D11" s="60" t="s">
        <v>86</v>
      </c>
      <c r="E11" s="61">
        <v>26.0</v>
      </c>
      <c r="F11" s="61">
        <v>4774.0</v>
      </c>
      <c r="G11" s="61">
        <v>4549.0</v>
      </c>
      <c r="H11" s="62">
        <v>0.13841435185185186</v>
      </c>
      <c r="I11" s="61">
        <v>103.0</v>
      </c>
      <c r="J11" s="63">
        <f t="shared" si="3"/>
        <v>3.961538462</v>
      </c>
      <c r="K11" s="63">
        <v>83.07</v>
      </c>
      <c r="L11" s="61" t="str">
        <f t="shared" si="4"/>
        <v>81-85</v>
      </c>
      <c r="M11" s="63">
        <v>77.12</v>
      </c>
      <c r="N11" s="63">
        <v>77.64</v>
      </c>
      <c r="O11" s="63"/>
      <c r="P11" s="63">
        <v>85.07</v>
      </c>
      <c r="Q11" s="63">
        <v>88.38</v>
      </c>
      <c r="R11" s="63">
        <v>15.0</v>
      </c>
      <c r="S11" s="63">
        <v>89.6</v>
      </c>
      <c r="T11" s="56"/>
      <c r="U11" s="56"/>
      <c r="V11" s="56"/>
      <c r="W11" s="56"/>
      <c r="X11" s="56"/>
      <c r="Y11" s="64" t="s">
        <v>74</v>
      </c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5"/>
      <c r="AM11" s="56"/>
      <c r="AN11" s="65"/>
      <c r="AO11" s="55"/>
      <c r="AP11" s="56"/>
      <c r="AQ11" s="55"/>
      <c r="AR11" s="55"/>
    </row>
    <row r="12">
      <c r="A12" s="59" t="s">
        <v>54</v>
      </c>
      <c r="B12" s="59"/>
      <c r="C12" s="59" t="s">
        <v>87</v>
      </c>
      <c r="D12" s="60" t="s">
        <v>88</v>
      </c>
      <c r="E12" s="61">
        <v>26.0</v>
      </c>
      <c r="F12" s="61">
        <v>3374.0</v>
      </c>
      <c r="G12" s="61">
        <v>3211.0</v>
      </c>
      <c r="H12" s="62">
        <v>0.12240740740740741</v>
      </c>
      <c r="I12" s="61">
        <v>229.0</v>
      </c>
      <c r="J12" s="63">
        <f t="shared" si="3"/>
        <v>8.807692308</v>
      </c>
      <c r="K12" s="63">
        <v>83.18</v>
      </c>
      <c r="L12" s="61" t="str">
        <f t="shared" si="4"/>
        <v>81-85</v>
      </c>
      <c r="M12" s="63">
        <v>73.47</v>
      </c>
      <c r="N12" s="63">
        <v>77.12</v>
      </c>
      <c r="O12" s="63"/>
      <c r="P12" s="63">
        <v>86.35</v>
      </c>
      <c r="Q12" s="63">
        <v>89.89</v>
      </c>
      <c r="R12" s="63">
        <v>7.14</v>
      </c>
      <c r="S12" s="63">
        <v>89.49</v>
      </c>
      <c r="T12" s="56"/>
      <c r="U12" s="56"/>
      <c r="V12" s="56"/>
      <c r="W12" s="56"/>
      <c r="X12" s="56"/>
      <c r="Y12" s="64" t="s">
        <v>75</v>
      </c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5"/>
      <c r="AM12" s="56"/>
      <c r="AN12" s="65"/>
      <c r="AO12" s="55"/>
      <c r="AP12" s="56"/>
      <c r="AQ12" s="55"/>
      <c r="AR12" s="55"/>
    </row>
    <row r="13">
      <c r="A13" s="59" t="s">
        <v>54</v>
      </c>
      <c r="B13" s="59"/>
      <c r="C13" s="59" t="s">
        <v>89</v>
      </c>
      <c r="D13" s="60" t="s">
        <v>90</v>
      </c>
      <c r="E13" s="61">
        <v>25.0</v>
      </c>
      <c r="F13" s="61">
        <v>5754.0</v>
      </c>
      <c r="G13" s="61">
        <v>5518.0</v>
      </c>
      <c r="H13" s="62">
        <v>0.1304050925925926</v>
      </c>
      <c r="I13" s="61">
        <v>100.0</v>
      </c>
      <c r="J13" s="63">
        <f t="shared" si="3"/>
        <v>4</v>
      </c>
      <c r="K13" s="63">
        <v>83.19</v>
      </c>
      <c r="L13" s="61" t="str">
        <f t="shared" si="4"/>
        <v>81-85</v>
      </c>
      <c r="M13" s="63">
        <v>77.53</v>
      </c>
      <c r="N13" s="63">
        <v>77.64</v>
      </c>
      <c r="O13" s="63"/>
      <c r="P13" s="63">
        <v>83.9</v>
      </c>
      <c r="Q13" s="63">
        <v>87.52</v>
      </c>
      <c r="R13" s="63">
        <v>15.38</v>
      </c>
      <c r="S13" s="63">
        <v>88.75</v>
      </c>
      <c r="T13" s="56"/>
      <c r="U13" s="56"/>
      <c r="V13" s="56"/>
      <c r="W13" s="56"/>
      <c r="X13" s="56"/>
      <c r="Y13" s="64" t="s">
        <v>76</v>
      </c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5"/>
      <c r="AM13" s="56"/>
      <c r="AN13" s="65"/>
      <c r="AO13" s="55"/>
      <c r="AP13" s="56"/>
      <c r="AQ13" s="55"/>
      <c r="AR13" s="55"/>
    </row>
    <row r="14">
      <c r="A14" s="59" t="s">
        <v>54</v>
      </c>
      <c r="B14" s="59"/>
      <c r="C14" s="59" t="s">
        <v>91</v>
      </c>
      <c r="D14" s="60" t="s">
        <v>92</v>
      </c>
      <c r="E14" s="61">
        <v>26.0</v>
      </c>
      <c r="F14" s="61">
        <v>6401.0</v>
      </c>
      <c r="G14" s="61">
        <v>5757.0</v>
      </c>
      <c r="H14" s="62">
        <v>0.12524305555555557</v>
      </c>
      <c r="I14" s="61">
        <v>104.0</v>
      </c>
      <c r="J14" s="63">
        <f t="shared" si="3"/>
        <v>4</v>
      </c>
      <c r="K14" s="63">
        <v>83.2</v>
      </c>
      <c r="L14" s="61" t="str">
        <f t="shared" si="4"/>
        <v>81-85</v>
      </c>
      <c r="M14" s="63">
        <v>72.62</v>
      </c>
      <c r="N14" s="63">
        <v>78.63</v>
      </c>
      <c r="O14" s="63"/>
      <c r="P14" s="63">
        <v>86.32</v>
      </c>
      <c r="Q14" s="63">
        <v>91.07</v>
      </c>
      <c r="R14" s="63">
        <v>5.0</v>
      </c>
      <c r="S14" s="63">
        <v>90.61</v>
      </c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5"/>
      <c r="AM14" s="56"/>
      <c r="AN14" s="65"/>
      <c r="AO14" s="55"/>
      <c r="AP14" s="56"/>
      <c r="AQ14" s="55"/>
      <c r="AR14" s="55"/>
    </row>
    <row r="15">
      <c r="A15" s="59" t="s">
        <v>54</v>
      </c>
      <c r="B15" s="59"/>
      <c r="C15" s="59">
        <v>22103.0</v>
      </c>
      <c r="D15" s="60" t="s">
        <v>93</v>
      </c>
      <c r="E15" s="61">
        <v>25.0</v>
      </c>
      <c r="F15" s="61">
        <v>4851.0</v>
      </c>
      <c r="G15" s="61">
        <v>4548.0</v>
      </c>
      <c r="H15" s="62">
        <v>0.13167824074074075</v>
      </c>
      <c r="I15" s="61">
        <v>249.0</v>
      </c>
      <c r="J15" s="63">
        <f t="shared" si="3"/>
        <v>9.96</v>
      </c>
      <c r="K15" s="63">
        <v>83.45</v>
      </c>
      <c r="L15" s="61" t="str">
        <f t="shared" si="4"/>
        <v>81-85</v>
      </c>
      <c r="M15" s="63">
        <v>77.31</v>
      </c>
      <c r="N15" s="63">
        <v>77.76</v>
      </c>
      <c r="O15" s="63"/>
      <c r="P15" s="63">
        <v>84.61</v>
      </c>
      <c r="Q15" s="63">
        <v>88.9</v>
      </c>
      <c r="R15" s="63">
        <v>0.0</v>
      </c>
      <c r="S15" s="63">
        <v>88.94</v>
      </c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5"/>
      <c r="AM15" s="56"/>
      <c r="AN15" s="65"/>
      <c r="AO15" s="55"/>
      <c r="AP15" s="56"/>
      <c r="AQ15" s="55"/>
      <c r="AR15" s="55"/>
    </row>
    <row r="16">
      <c r="A16" s="59" t="s">
        <v>54</v>
      </c>
      <c r="B16" s="59"/>
      <c r="C16" s="59" t="s">
        <v>94</v>
      </c>
      <c r="D16" s="60" t="s">
        <v>95</v>
      </c>
      <c r="E16" s="61">
        <v>25.0</v>
      </c>
      <c r="F16" s="61">
        <v>4572.0</v>
      </c>
      <c r="G16" s="61">
        <v>4267.0</v>
      </c>
      <c r="H16" s="62">
        <v>0.165</v>
      </c>
      <c r="I16" s="61">
        <v>162.0</v>
      </c>
      <c r="J16" s="63">
        <f t="shared" si="3"/>
        <v>6.48</v>
      </c>
      <c r="K16" s="63">
        <v>83.48</v>
      </c>
      <c r="L16" s="61" t="str">
        <f t="shared" si="4"/>
        <v>81-85</v>
      </c>
      <c r="M16" s="63">
        <v>73.68</v>
      </c>
      <c r="N16" s="63">
        <v>78.6</v>
      </c>
      <c r="O16" s="63"/>
      <c r="P16" s="63">
        <v>86.89</v>
      </c>
      <c r="Q16" s="63">
        <v>90.15</v>
      </c>
      <c r="R16" s="63">
        <v>16.67</v>
      </c>
      <c r="S16" s="63">
        <v>90.13</v>
      </c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5"/>
      <c r="AM16" s="56"/>
      <c r="AN16" s="65"/>
      <c r="AO16" s="55"/>
      <c r="AP16" s="56"/>
      <c r="AQ16" s="55"/>
      <c r="AR16" s="55"/>
    </row>
    <row r="17">
      <c r="A17" s="59" t="s">
        <v>54</v>
      </c>
      <c r="B17" s="59"/>
      <c r="C17" s="59">
        <v>60258.0</v>
      </c>
      <c r="D17" s="60" t="s">
        <v>96</v>
      </c>
      <c r="E17" s="61">
        <v>25.0</v>
      </c>
      <c r="F17" s="61">
        <v>3662.0</v>
      </c>
      <c r="G17" s="61">
        <v>3412.0</v>
      </c>
      <c r="H17" s="62">
        <v>0.1470949074074074</v>
      </c>
      <c r="I17" s="61">
        <v>224.0</v>
      </c>
      <c r="J17" s="63">
        <f t="shared" si="3"/>
        <v>8.96</v>
      </c>
      <c r="K17" s="63">
        <v>83.48</v>
      </c>
      <c r="L17" s="61" t="str">
        <f t="shared" si="4"/>
        <v>81-85</v>
      </c>
      <c r="M17" s="63">
        <v>74.45</v>
      </c>
      <c r="N17" s="63">
        <v>76.03</v>
      </c>
      <c r="O17" s="63"/>
      <c r="P17" s="63">
        <v>86.14</v>
      </c>
      <c r="Q17" s="63">
        <v>89.44</v>
      </c>
      <c r="R17" s="63">
        <v>12.5</v>
      </c>
      <c r="S17" s="63">
        <v>90.1</v>
      </c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5"/>
      <c r="AM17" s="56"/>
      <c r="AN17" s="65"/>
      <c r="AO17" s="55"/>
      <c r="AP17" s="56"/>
      <c r="AQ17" s="55"/>
      <c r="AR17" s="55"/>
    </row>
    <row r="18">
      <c r="A18" s="59" t="s">
        <v>54</v>
      </c>
      <c r="B18" s="59"/>
      <c r="C18" s="59" t="s">
        <v>97</v>
      </c>
      <c r="D18" s="60" t="s">
        <v>98</v>
      </c>
      <c r="E18" s="61">
        <v>24.0</v>
      </c>
      <c r="F18" s="61">
        <v>4181.0</v>
      </c>
      <c r="G18" s="61">
        <v>3946.0</v>
      </c>
      <c r="H18" s="62">
        <v>0.16077546296296297</v>
      </c>
      <c r="I18" s="61">
        <v>101.0</v>
      </c>
      <c r="J18" s="63">
        <f t="shared" si="3"/>
        <v>4.208333333</v>
      </c>
      <c r="K18" s="63">
        <v>83.52</v>
      </c>
      <c r="L18" s="61" t="str">
        <f t="shared" si="4"/>
        <v>81-85</v>
      </c>
      <c r="M18" s="63">
        <v>78.13</v>
      </c>
      <c r="N18" s="63">
        <v>78.68</v>
      </c>
      <c r="O18" s="63"/>
      <c r="P18" s="63">
        <v>85.04</v>
      </c>
      <c r="Q18" s="63">
        <v>88.2</v>
      </c>
      <c r="R18" s="63">
        <v>25.0</v>
      </c>
      <c r="S18" s="63">
        <v>88.12</v>
      </c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5"/>
      <c r="AM18" s="56"/>
      <c r="AN18" s="65"/>
      <c r="AO18" s="55"/>
      <c r="AP18" s="56"/>
      <c r="AQ18" s="55"/>
      <c r="AR18" s="55"/>
    </row>
    <row r="19">
      <c r="A19" s="59" t="s">
        <v>54</v>
      </c>
      <c r="B19" s="59"/>
      <c r="C19" s="59" t="s">
        <v>99</v>
      </c>
      <c r="D19" s="60" t="s">
        <v>100</v>
      </c>
      <c r="E19" s="61">
        <v>25.0</v>
      </c>
      <c r="F19" s="61">
        <v>6542.0</v>
      </c>
      <c r="G19" s="61">
        <v>5991.0</v>
      </c>
      <c r="H19" s="62">
        <v>0.12166666666666667</v>
      </c>
      <c r="I19" s="61">
        <v>114.0</v>
      </c>
      <c r="J19" s="63">
        <f t="shared" si="3"/>
        <v>4.56</v>
      </c>
      <c r="K19" s="63">
        <v>83.66</v>
      </c>
      <c r="L19" s="61" t="str">
        <f t="shared" si="4"/>
        <v>81-85</v>
      </c>
      <c r="M19" s="63">
        <v>72.81</v>
      </c>
      <c r="N19" s="63">
        <v>80.05</v>
      </c>
      <c r="O19" s="63"/>
      <c r="P19" s="63">
        <v>85.8</v>
      </c>
      <c r="Q19" s="63">
        <v>90.19</v>
      </c>
      <c r="R19" s="63">
        <v>17.86</v>
      </c>
      <c r="S19" s="63">
        <v>89.26</v>
      </c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5"/>
      <c r="AM19" s="56"/>
      <c r="AN19" s="65"/>
      <c r="AO19" s="55"/>
      <c r="AP19" s="56"/>
      <c r="AQ19" s="55"/>
      <c r="AR19" s="55"/>
    </row>
    <row r="20">
      <c r="A20" s="59" t="s">
        <v>54</v>
      </c>
      <c r="B20" s="59"/>
      <c r="C20" s="59" t="s">
        <v>101</v>
      </c>
      <c r="D20" s="60" t="s">
        <v>102</v>
      </c>
      <c r="E20" s="61">
        <v>26.0</v>
      </c>
      <c r="F20" s="61">
        <v>4818.0</v>
      </c>
      <c r="G20" s="61">
        <v>4506.0</v>
      </c>
      <c r="H20" s="62">
        <v>0.14601851851851852</v>
      </c>
      <c r="I20" s="61">
        <v>120.0</v>
      </c>
      <c r="J20" s="63">
        <f t="shared" si="3"/>
        <v>4.615384615</v>
      </c>
      <c r="K20" s="63">
        <v>84.0</v>
      </c>
      <c r="L20" s="61" t="str">
        <f t="shared" si="4"/>
        <v>81-85</v>
      </c>
      <c r="M20" s="63">
        <v>77.38</v>
      </c>
      <c r="N20" s="63">
        <v>80.5</v>
      </c>
      <c r="O20" s="63"/>
      <c r="P20" s="63">
        <v>86.61</v>
      </c>
      <c r="Q20" s="63">
        <v>88.91</v>
      </c>
      <c r="R20" s="63">
        <v>20.0</v>
      </c>
      <c r="S20" s="63">
        <v>90.41</v>
      </c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5"/>
      <c r="AM20" s="56"/>
      <c r="AN20" s="65"/>
      <c r="AO20" s="55"/>
      <c r="AP20" s="56"/>
      <c r="AQ20" s="55"/>
      <c r="AR20" s="55"/>
    </row>
    <row r="21">
      <c r="A21" s="59" t="s">
        <v>54</v>
      </c>
      <c r="B21" s="59"/>
      <c r="C21" s="59">
        <v>60668.0</v>
      </c>
      <c r="D21" s="60" t="s">
        <v>103</v>
      </c>
      <c r="E21" s="61">
        <v>14.0</v>
      </c>
      <c r="F21" s="61">
        <v>3065.0</v>
      </c>
      <c r="G21" s="61">
        <v>3022.0</v>
      </c>
      <c r="H21" s="66">
        <v>0.07350694444444444</v>
      </c>
      <c r="I21" s="61">
        <v>61.0</v>
      </c>
      <c r="J21" s="63">
        <f t="shared" si="3"/>
        <v>4.357142857</v>
      </c>
      <c r="K21" s="63">
        <v>84.0</v>
      </c>
      <c r="L21" s="61" t="str">
        <f t="shared" si="4"/>
        <v>81-85</v>
      </c>
      <c r="M21" s="63">
        <v>73.38</v>
      </c>
      <c r="N21" s="63">
        <v>83.04</v>
      </c>
      <c r="O21" s="63"/>
      <c r="P21" s="63">
        <v>86.56</v>
      </c>
      <c r="Q21" s="63">
        <v>89.8</v>
      </c>
      <c r="R21" s="63">
        <v>0.0</v>
      </c>
      <c r="S21" s="63">
        <v>91.61</v>
      </c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5"/>
      <c r="AM21" s="56"/>
      <c r="AN21" s="65"/>
      <c r="AO21" s="55"/>
      <c r="AP21" s="56"/>
      <c r="AQ21" s="55"/>
      <c r="AR21" s="55"/>
    </row>
    <row r="22">
      <c r="A22" s="59" t="s">
        <v>54</v>
      </c>
      <c r="B22" s="59"/>
      <c r="C22" s="59" t="s">
        <v>104</v>
      </c>
      <c r="D22" s="60" t="s">
        <v>105</v>
      </c>
      <c r="E22" s="61">
        <v>23.0</v>
      </c>
      <c r="F22" s="61">
        <v>2569.0</v>
      </c>
      <c r="G22" s="61">
        <v>2544.0</v>
      </c>
      <c r="H22" s="62">
        <v>0.06525462962962963</v>
      </c>
      <c r="I22" s="61">
        <v>30.0</v>
      </c>
      <c r="J22" s="63">
        <f t="shared" si="3"/>
        <v>1.304347826</v>
      </c>
      <c r="K22" s="63">
        <v>84.04</v>
      </c>
      <c r="L22" s="61" t="str">
        <f t="shared" si="4"/>
        <v>81-85</v>
      </c>
      <c r="M22" s="63">
        <v>78.39</v>
      </c>
      <c r="N22" s="63">
        <v>78.6</v>
      </c>
      <c r="O22" s="63"/>
      <c r="P22" s="63">
        <v>84.4</v>
      </c>
      <c r="Q22" s="63">
        <v>88.36</v>
      </c>
      <c r="R22" s="63">
        <v>0.0</v>
      </c>
      <c r="S22" s="63">
        <v>90.24</v>
      </c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5"/>
      <c r="AM22" s="56"/>
      <c r="AN22" s="65"/>
      <c r="AO22" s="55"/>
      <c r="AP22" s="56"/>
      <c r="AQ22" s="55"/>
      <c r="AR22" s="55"/>
    </row>
    <row r="23">
      <c r="A23" s="59" t="s">
        <v>54</v>
      </c>
      <c r="B23" s="59"/>
      <c r="C23" s="59" t="s">
        <v>106</v>
      </c>
      <c r="D23" s="60" t="s">
        <v>107</v>
      </c>
      <c r="E23" s="61">
        <v>24.0</v>
      </c>
      <c r="F23" s="61">
        <v>4520.0</v>
      </c>
      <c r="G23" s="61">
        <v>4375.0</v>
      </c>
      <c r="H23" s="62">
        <v>0.10440972222222222</v>
      </c>
      <c r="I23" s="61">
        <v>150.0</v>
      </c>
      <c r="J23" s="63">
        <f t="shared" si="3"/>
        <v>6.25</v>
      </c>
      <c r="K23" s="63">
        <v>84.05</v>
      </c>
      <c r="L23" s="61" t="str">
        <f t="shared" si="4"/>
        <v>81-85</v>
      </c>
      <c r="M23" s="63">
        <v>75.87</v>
      </c>
      <c r="N23" s="63">
        <v>78.73</v>
      </c>
      <c r="O23" s="63"/>
      <c r="P23" s="63">
        <v>85.07</v>
      </c>
      <c r="Q23" s="63">
        <v>89.85</v>
      </c>
      <c r="R23" s="63">
        <v>25.0</v>
      </c>
      <c r="S23" s="63">
        <v>88.64</v>
      </c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5"/>
      <c r="AM23" s="56"/>
      <c r="AN23" s="65"/>
      <c r="AO23" s="55"/>
      <c r="AP23" s="56"/>
      <c r="AQ23" s="55"/>
      <c r="AR23" s="55"/>
    </row>
    <row r="24">
      <c r="A24" s="59" t="s">
        <v>54</v>
      </c>
      <c r="B24" s="59"/>
      <c r="C24" s="59" t="s">
        <v>108</v>
      </c>
      <c r="D24" s="60" t="s">
        <v>109</v>
      </c>
      <c r="E24" s="61">
        <v>23.0</v>
      </c>
      <c r="F24" s="61">
        <v>3954.0</v>
      </c>
      <c r="G24" s="61">
        <v>3806.0</v>
      </c>
      <c r="H24" s="62">
        <v>0.1542361111111111</v>
      </c>
      <c r="I24" s="61">
        <v>147.0</v>
      </c>
      <c r="J24" s="63">
        <f t="shared" si="3"/>
        <v>6.391304348</v>
      </c>
      <c r="K24" s="63">
        <v>84.16</v>
      </c>
      <c r="L24" s="61" t="str">
        <f t="shared" si="4"/>
        <v>81-85</v>
      </c>
      <c r="M24" s="63">
        <v>76.26</v>
      </c>
      <c r="N24" s="63">
        <v>77.93</v>
      </c>
      <c r="O24" s="63"/>
      <c r="P24" s="63">
        <v>86.33</v>
      </c>
      <c r="Q24" s="63">
        <v>90.05</v>
      </c>
      <c r="R24" s="63">
        <v>3.57</v>
      </c>
      <c r="S24" s="63">
        <v>91.37</v>
      </c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5"/>
      <c r="AM24" s="56"/>
      <c r="AN24" s="65"/>
      <c r="AO24" s="55"/>
      <c r="AP24" s="56"/>
      <c r="AQ24" s="55"/>
      <c r="AR24" s="55"/>
    </row>
    <row r="25">
      <c r="A25" s="59" t="s">
        <v>54</v>
      </c>
      <c r="B25" s="59"/>
      <c r="C25" s="59" t="s">
        <v>110</v>
      </c>
      <c r="D25" s="60" t="s">
        <v>111</v>
      </c>
      <c r="E25" s="61">
        <v>26.0</v>
      </c>
      <c r="F25" s="61">
        <v>4269.0</v>
      </c>
      <c r="G25" s="61">
        <v>4086.0</v>
      </c>
      <c r="H25" s="62">
        <v>0.1121875</v>
      </c>
      <c r="I25" s="61">
        <v>57.0</v>
      </c>
      <c r="J25" s="63">
        <f t="shared" si="3"/>
        <v>2.192307692</v>
      </c>
      <c r="K25" s="63">
        <v>84.32</v>
      </c>
      <c r="L25" s="61" t="str">
        <f t="shared" si="4"/>
        <v>81-85</v>
      </c>
      <c r="M25" s="63">
        <v>79.58</v>
      </c>
      <c r="N25" s="63">
        <v>78.5</v>
      </c>
      <c r="O25" s="63"/>
      <c r="P25" s="63">
        <v>86.25</v>
      </c>
      <c r="Q25" s="63">
        <v>88.66</v>
      </c>
      <c r="R25" s="63">
        <v>17.5</v>
      </c>
      <c r="S25" s="63">
        <v>88.81</v>
      </c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5"/>
      <c r="AM25" s="56"/>
      <c r="AN25" s="65"/>
      <c r="AO25" s="55"/>
      <c r="AP25" s="56"/>
      <c r="AQ25" s="55"/>
      <c r="AR25" s="55"/>
    </row>
    <row r="26">
      <c r="A26" s="59" t="s">
        <v>54</v>
      </c>
      <c r="B26" s="59"/>
      <c r="C26" s="59">
        <v>22294.0</v>
      </c>
      <c r="D26" s="60" t="s">
        <v>112</v>
      </c>
      <c r="E26" s="61">
        <v>24.0</v>
      </c>
      <c r="F26" s="61">
        <v>4047.0</v>
      </c>
      <c r="G26" s="61">
        <v>3667.0</v>
      </c>
      <c r="H26" s="62">
        <v>0.12883101851851853</v>
      </c>
      <c r="I26" s="61">
        <v>71.0</v>
      </c>
      <c r="J26" s="63">
        <f t="shared" si="3"/>
        <v>2.958333333</v>
      </c>
      <c r="K26" s="63">
        <v>84.55</v>
      </c>
      <c r="L26" s="61" t="str">
        <f t="shared" si="4"/>
        <v>81-85</v>
      </c>
      <c r="M26" s="63">
        <v>78.64</v>
      </c>
      <c r="N26" s="63">
        <v>79.8</v>
      </c>
      <c r="O26" s="63"/>
      <c r="P26" s="63">
        <v>85.95</v>
      </c>
      <c r="Q26" s="63">
        <v>89.61</v>
      </c>
      <c r="R26" s="63">
        <v>24.24</v>
      </c>
      <c r="S26" s="63">
        <v>90.12</v>
      </c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5"/>
      <c r="AM26" s="56"/>
      <c r="AN26" s="65"/>
      <c r="AO26" s="55"/>
      <c r="AP26" s="56"/>
      <c r="AQ26" s="55"/>
      <c r="AR26" s="55"/>
    </row>
    <row r="27">
      <c r="A27" s="59" t="s">
        <v>54</v>
      </c>
      <c r="B27" s="59"/>
      <c r="C27" s="59">
        <v>22381.0</v>
      </c>
      <c r="D27" s="60" t="s">
        <v>113</v>
      </c>
      <c r="E27" s="61">
        <v>21.0</v>
      </c>
      <c r="F27" s="61">
        <v>2729.0</v>
      </c>
      <c r="G27" s="61">
        <v>2570.0</v>
      </c>
      <c r="H27" s="62">
        <v>0.07710648148148148</v>
      </c>
      <c r="I27" s="61">
        <v>38.0</v>
      </c>
      <c r="J27" s="63">
        <f t="shared" si="3"/>
        <v>1.80952381</v>
      </c>
      <c r="K27" s="63">
        <v>84.57</v>
      </c>
      <c r="L27" s="61" t="str">
        <f t="shared" si="4"/>
        <v>81-85</v>
      </c>
      <c r="M27" s="63">
        <v>80.1</v>
      </c>
      <c r="N27" s="63">
        <v>79.05</v>
      </c>
      <c r="O27" s="63"/>
      <c r="P27" s="63">
        <v>85.02</v>
      </c>
      <c r="Q27" s="63">
        <v>88.01</v>
      </c>
      <c r="R27" s="63">
        <v>20.0</v>
      </c>
      <c r="S27" s="63">
        <v>89.9</v>
      </c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5"/>
      <c r="AM27" s="56"/>
      <c r="AN27" s="65"/>
      <c r="AO27" s="55"/>
      <c r="AP27" s="56"/>
      <c r="AQ27" s="55"/>
      <c r="AR27" s="55"/>
    </row>
    <row r="28">
      <c r="A28" s="59" t="s">
        <v>54</v>
      </c>
      <c r="B28" s="59"/>
      <c r="C28" s="59">
        <v>22479.0</v>
      </c>
      <c r="D28" s="60" t="s">
        <v>114</v>
      </c>
      <c r="E28" s="61">
        <v>24.0</v>
      </c>
      <c r="F28" s="61">
        <v>3589.0</v>
      </c>
      <c r="G28" s="61">
        <v>3356.0</v>
      </c>
      <c r="H28" s="62">
        <v>0.11055555555555556</v>
      </c>
      <c r="I28" s="61">
        <v>66.0</v>
      </c>
      <c r="J28" s="63">
        <f t="shared" si="3"/>
        <v>2.75</v>
      </c>
      <c r="K28" s="63">
        <v>84.59</v>
      </c>
      <c r="L28" s="61" t="str">
        <f t="shared" si="4"/>
        <v>81-85</v>
      </c>
      <c r="M28" s="63">
        <v>76.89</v>
      </c>
      <c r="N28" s="63">
        <v>77.32</v>
      </c>
      <c r="O28" s="63"/>
      <c r="P28" s="63">
        <v>87.4</v>
      </c>
      <c r="Q28" s="63">
        <v>91.28</v>
      </c>
      <c r="R28" s="63">
        <v>0.0</v>
      </c>
      <c r="S28" s="63">
        <v>91.55</v>
      </c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5"/>
      <c r="AM28" s="56"/>
      <c r="AN28" s="65"/>
      <c r="AO28" s="55"/>
      <c r="AP28" s="56"/>
      <c r="AQ28" s="55"/>
      <c r="AR28" s="55"/>
    </row>
    <row r="29">
      <c r="A29" s="59" t="s">
        <v>54</v>
      </c>
      <c r="B29" s="59"/>
      <c r="C29" s="59" t="s">
        <v>115</v>
      </c>
      <c r="D29" s="60" t="s">
        <v>116</v>
      </c>
      <c r="E29" s="61">
        <v>24.0</v>
      </c>
      <c r="F29" s="61">
        <v>4080.0</v>
      </c>
      <c r="G29" s="61">
        <v>3824.0</v>
      </c>
      <c r="H29" s="62">
        <v>0.12496527777777777</v>
      </c>
      <c r="I29" s="61">
        <v>63.0</v>
      </c>
      <c r="J29" s="63">
        <f t="shared" si="3"/>
        <v>2.625</v>
      </c>
      <c r="K29" s="63">
        <v>84.74</v>
      </c>
      <c r="L29" s="61" t="str">
        <f t="shared" si="4"/>
        <v>81-85</v>
      </c>
      <c r="M29" s="63">
        <v>75.6</v>
      </c>
      <c r="N29" s="63">
        <v>81.71</v>
      </c>
      <c r="O29" s="63"/>
      <c r="P29" s="63">
        <v>87.38</v>
      </c>
      <c r="Q29" s="63">
        <v>90.74</v>
      </c>
      <c r="R29" s="63">
        <v>17.19</v>
      </c>
      <c r="S29" s="63">
        <v>90.89</v>
      </c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5"/>
      <c r="AM29" s="56"/>
      <c r="AN29" s="65"/>
      <c r="AO29" s="55"/>
      <c r="AP29" s="56"/>
      <c r="AQ29" s="55"/>
      <c r="AR29" s="55"/>
    </row>
    <row r="30">
      <c r="A30" s="59" t="s">
        <v>54</v>
      </c>
      <c r="B30" s="59"/>
      <c r="C30" s="59">
        <v>22070.0</v>
      </c>
      <c r="D30" s="60" t="s">
        <v>117</v>
      </c>
      <c r="E30" s="61">
        <v>28.0</v>
      </c>
      <c r="F30" s="61">
        <v>3880.0</v>
      </c>
      <c r="G30" s="61">
        <v>3664.0</v>
      </c>
      <c r="H30" s="62">
        <v>0.10827546296296296</v>
      </c>
      <c r="I30" s="61">
        <v>188.0</v>
      </c>
      <c r="J30" s="63">
        <f t="shared" si="3"/>
        <v>6.714285714</v>
      </c>
      <c r="K30" s="63">
        <v>85.19</v>
      </c>
      <c r="L30" s="61" t="str">
        <f t="shared" si="4"/>
        <v>85-90</v>
      </c>
      <c r="M30" s="63">
        <v>78.68</v>
      </c>
      <c r="N30" s="63">
        <v>78.52</v>
      </c>
      <c r="O30" s="63"/>
      <c r="P30" s="63">
        <v>86.28</v>
      </c>
      <c r="Q30" s="63">
        <v>90.07</v>
      </c>
      <c r="R30" s="63">
        <v>25.0</v>
      </c>
      <c r="S30" s="63">
        <v>90.77</v>
      </c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5"/>
      <c r="AM30" s="56"/>
      <c r="AN30" s="65"/>
      <c r="AO30" s="55"/>
      <c r="AP30" s="56"/>
      <c r="AQ30" s="55"/>
      <c r="AR30" s="55"/>
    </row>
    <row r="31">
      <c r="A31" s="59" t="s">
        <v>54</v>
      </c>
      <c r="B31" s="59"/>
      <c r="C31" s="59" t="s">
        <v>118</v>
      </c>
      <c r="D31" s="60" t="s">
        <v>119</v>
      </c>
      <c r="E31" s="61">
        <v>25.0</v>
      </c>
      <c r="F31" s="61">
        <v>4355.0</v>
      </c>
      <c r="G31" s="61">
        <v>4049.0</v>
      </c>
      <c r="H31" s="62">
        <v>0.09627314814814815</v>
      </c>
      <c r="I31" s="61">
        <v>59.0</v>
      </c>
      <c r="J31" s="63">
        <f t="shared" si="3"/>
        <v>2.36</v>
      </c>
      <c r="K31" s="63">
        <v>85.32</v>
      </c>
      <c r="L31" s="61" t="str">
        <f t="shared" si="4"/>
        <v>85-90</v>
      </c>
      <c r="M31" s="63">
        <v>79.43</v>
      </c>
      <c r="N31" s="63">
        <v>75.8</v>
      </c>
      <c r="O31" s="63"/>
      <c r="P31" s="63">
        <v>87.52</v>
      </c>
      <c r="Q31" s="63">
        <v>90.15</v>
      </c>
      <c r="R31" s="63">
        <v>18.75</v>
      </c>
      <c r="S31" s="63">
        <v>90.89</v>
      </c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5"/>
      <c r="AM31" s="56"/>
      <c r="AN31" s="65"/>
      <c r="AO31" s="55"/>
      <c r="AP31" s="56"/>
      <c r="AQ31" s="55"/>
      <c r="AR31" s="55"/>
    </row>
    <row r="32">
      <c r="A32" s="59" t="s">
        <v>54</v>
      </c>
      <c r="B32" s="59"/>
      <c r="C32" s="59">
        <v>21635.0</v>
      </c>
      <c r="D32" s="60" t="s">
        <v>120</v>
      </c>
      <c r="E32" s="61">
        <v>26.0</v>
      </c>
      <c r="F32" s="61">
        <v>4727.0</v>
      </c>
      <c r="G32" s="61">
        <v>4423.0</v>
      </c>
      <c r="H32" s="62">
        <v>0.14814814814814814</v>
      </c>
      <c r="I32" s="61">
        <v>241.0</v>
      </c>
      <c r="J32" s="63">
        <f t="shared" si="3"/>
        <v>9.269230769</v>
      </c>
      <c r="K32" s="63">
        <v>85.45</v>
      </c>
      <c r="L32" s="61" t="str">
        <f t="shared" si="4"/>
        <v>85-90</v>
      </c>
      <c r="M32" s="63">
        <v>77.69</v>
      </c>
      <c r="N32" s="63">
        <v>82.82</v>
      </c>
      <c r="O32" s="63"/>
      <c r="P32" s="63">
        <v>87.32</v>
      </c>
      <c r="Q32" s="63">
        <v>90.03</v>
      </c>
      <c r="R32" s="63">
        <v>20.45</v>
      </c>
      <c r="S32" s="63">
        <v>91.54</v>
      </c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5"/>
      <c r="AM32" s="56"/>
      <c r="AN32" s="65"/>
      <c r="AO32" s="55"/>
      <c r="AP32" s="56"/>
      <c r="AQ32" s="55"/>
      <c r="AR32" s="55"/>
    </row>
    <row r="33">
      <c r="A33" s="59" t="s">
        <v>54</v>
      </c>
      <c r="B33" s="59"/>
      <c r="C33" s="59" t="s">
        <v>121</v>
      </c>
      <c r="D33" s="60" t="s">
        <v>122</v>
      </c>
      <c r="E33" s="61">
        <v>26.0</v>
      </c>
      <c r="F33" s="61">
        <v>3993.0</v>
      </c>
      <c r="G33" s="61">
        <v>3830.0</v>
      </c>
      <c r="H33" s="62">
        <v>0.10415509259259259</v>
      </c>
      <c r="I33" s="61">
        <v>73.0</v>
      </c>
      <c r="J33" s="63">
        <f t="shared" si="3"/>
        <v>2.807692308</v>
      </c>
      <c r="K33" s="63">
        <v>85.52</v>
      </c>
      <c r="L33" s="61" t="str">
        <f t="shared" si="4"/>
        <v>85-90</v>
      </c>
      <c r="M33" s="63">
        <v>76.38</v>
      </c>
      <c r="N33" s="63">
        <v>83.59</v>
      </c>
      <c r="O33" s="63"/>
      <c r="P33" s="63">
        <v>86.85</v>
      </c>
      <c r="Q33" s="63">
        <v>90.12</v>
      </c>
      <c r="R33" s="63">
        <v>0.0</v>
      </c>
      <c r="S33" s="63">
        <v>91.36</v>
      </c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5"/>
      <c r="AM33" s="56"/>
      <c r="AN33" s="65"/>
      <c r="AO33" s="55"/>
      <c r="AP33" s="56"/>
      <c r="AQ33" s="55"/>
      <c r="AR33" s="55"/>
    </row>
    <row r="34">
      <c r="A34" s="59" t="s">
        <v>54</v>
      </c>
      <c r="B34" s="59"/>
      <c r="C34" s="59">
        <v>60667.0</v>
      </c>
      <c r="D34" s="60" t="s">
        <v>123</v>
      </c>
      <c r="E34" s="61">
        <v>27.0</v>
      </c>
      <c r="F34" s="61">
        <v>4860.0</v>
      </c>
      <c r="G34" s="61">
        <v>4552.0</v>
      </c>
      <c r="H34" s="62">
        <v>0.09905092592592593</v>
      </c>
      <c r="I34" s="61">
        <v>63.0</v>
      </c>
      <c r="J34" s="63">
        <f t="shared" si="3"/>
        <v>2.333333333</v>
      </c>
      <c r="K34" s="63">
        <v>85.78</v>
      </c>
      <c r="L34" s="61" t="str">
        <f t="shared" si="4"/>
        <v>85-90</v>
      </c>
      <c r="M34" s="63">
        <v>77.59</v>
      </c>
      <c r="N34" s="63">
        <v>81.27</v>
      </c>
      <c r="O34" s="63"/>
      <c r="P34" s="63">
        <v>88.14</v>
      </c>
      <c r="Q34" s="63">
        <v>91.0</v>
      </c>
      <c r="R34" s="63">
        <v>20.83</v>
      </c>
      <c r="S34" s="63">
        <v>91.52</v>
      </c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5"/>
      <c r="AM34" s="56"/>
      <c r="AN34" s="65"/>
      <c r="AO34" s="55"/>
      <c r="AP34" s="56"/>
      <c r="AQ34" s="55"/>
      <c r="AR34" s="55"/>
    </row>
    <row r="35">
      <c r="A35" s="59" t="s">
        <v>54</v>
      </c>
      <c r="B35" s="59"/>
      <c r="C35" s="59" t="s">
        <v>124</v>
      </c>
      <c r="D35" s="60" t="s">
        <v>125</v>
      </c>
      <c r="E35" s="61">
        <v>20.0</v>
      </c>
      <c r="F35" s="61">
        <v>3172.0</v>
      </c>
      <c r="G35" s="61">
        <v>3013.0</v>
      </c>
      <c r="H35" s="62">
        <v>0.0922337962962963</v>
      </c>
      <c r="I35" s="61">
        <v>55.0</v>
      </c>
      <c r="J35" s="63">
        <f t="shared" si="3"/>
        <v>2.75</v>
      </c>
      <c r="K35" s="63">
        <v>85.81</v>
      </c>
      <c r="L35" s="61" t="str">
        <f t="shared" si="4"/>
        <v>85-90</v>
      </c>
      <c r="M35" s="63">
        <v>76.91</v>
      </c>
      <c r="N35" s="63">
        <v>79.59</v>
      </c>
      <c r="O35" s="63"/>
      <c r="P35" s="63">
        <v>89.1</v>
      </c>
      <c r="Q35" s="63">
        <v>91.75</v>
      </c>
      <c r="R35" s="63">
        <v>0.0</v>
      </c>
      <c r="S35" s="63">
        <v>92.51</v>
      </c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5"/>
      <c r="AM35" s="56"/>
      <c r="AN35" s="65"/>
      <c r="AO35" s="55"/>
      <c r="AP35" s="56"/>
      <c r="AQ35" s="55"/>
      <c r="AR35" s="55"/>
    </row>
    <row r="36">
      <c r="A36" s="59" t="s">
        <v>54</v>
      </c>
      <c r="B36" s="59"/>
      <c r="C36" s="59" t="s">
        <v>126</v>
      </c>
      <c r="D36" s="60" t="s">
        <v>127</v>
      </c>
      <c r="E36" s="61">
        <v>19.0</v>
      </c>
      <c r="F36" s="61">
        <v>3001.0</v>
      </c>
      <c r="G36" s="61">
        <v>2847.0</v>
      </c>
      <c r="H36" s="62">
        <v>0.10116898148148148</v>
      </c>
      <c r="I36" s="61">
        <v>46.0</v>
      </c>
      <c r="J36" s="63">
        <f t="shared" si="3"/>
        <v>2.421052632</v>
      </c>
      <c r="K36" s="63">
        <v>85.85</v>
      </c>
      <c r="L36" s="61" t="str">
        <f t="shared" si="4"/>
        <v>85-90</v>
      </c>
      <c r="M36" s="63">
        <v>76.84</v>
      </c>
      <c r="N36" s="63">
        <v>82.41</v>
      </c>
      <c r="O36" s="63"/>
      <c r="P36" s="63">
        <v>88.5</v>
      </c>
      <c r="Q36" s="63">
        <v>91.66</v>
      </c>
      <c r="R36" s="63"/>
      <c r="S36" s="63">
        <v>91.69</v>
      </c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5"/>
      <c r="AM36" s="56"/>
      <c r="AN36" s="65"/>
      <c r="AO36" s="55"/>
      <c r="AP36" s="56"/>
      <c r="AQ36" s="55"/>
      <c r="AR36" s="55"/>
    </row>
    <row r="37">
      <c r="A37" s="59" t="s">
        <v>54</v>
      </c>
      <c r="B37" s="59"/>
      <c r="C37" s="59" t="s">
        <v>128</v>
      </c>
      <c r="D37" s="60" t="s">
        <v>129</v>
      </c>
      <c r="E37" s="61">
        <v>25.0</v>
      </c>
      <c r="F37" s="61">
        <v>4268.0</v>
      </c>
      <c r="G37" s="61">
        <v>4096.0</v>
      </c>
      <c r="H37" s="62">
        <v>0.08947916666666667</v>
      </c>
      <c r="I37" s="61">
        <v>68.0</v>
      </c>
      <c r="J37" s="63">
        <f t="shared" si="3"/>
        <v>2.72</v>
      </c>
      <c r="K37" s="63">
        <v>85.86</v>
      </c>
      <c r="L37" s="61" t="str">
        <f t="shared" si="4"/>
        <v>85-90</v>
      </c>
      <c r="M37" s="63">
        <v>75.68</v>
      </c>
      <c r="N37" s="63">
        <v>80.56</v>
      </c>
      <c r="O37" s="63"/>
      <c r="P37" s="63">
        <v>90.45</v>
      </c>
      <c r="Q37" s="63">
        <v>91.7</v>
      </c>
      <c r="R37" s="63">
        <v>4.17</v>
      </c>
      <c r="S37" s="63">
        <v>92.73</v>
      </c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5"/>
      <c r="AM37" s="56"/>
      <c r="AN37" s="65"/>
      <c r="AO37" s="55"/>
      <c r="AP37" s="56"/>
      <c r="AQ37" s="55"/>
      <c r="AR37" s="55"/>
    </row>
    <row r="38">
      <c r="A38" s="59" t="s">
        <v>54</v>
      </c>
      <c r="B38" s="59"/>
      <c r="C38" s="59">
        <v>22488.0</v>
      </c>
      <c r="D38" s="60" t="s">
        <v>130</v>
      </c>
      <c r="E38" s="61">
        <v>26.0</v>
      </c>
      <c r="F38" s="61">
        <v>3533.0</v>
      </c>
      <c r="G38" s="61">
        <v>2875.0</v>
      </c>
      <c r="H38" s="62">
        <v>0.1621875</v>
      </c>
      <c r="I38" s="61">
        <v>59.0</v>
      </c>
      <c r="J38" s="63">
        <f t="shared" si="3"/>
        <v>2.269230769</v>
      </c>
      <c r="K38" s="63">
        <v>85.91</v>
      </c>
      <c r="L38" s="61" t="str">
        <f t="shared" si="4"/>
        <v>85-90</v>
      </c>
      <c r="M38" s="63">
        <v>79.75</v>
      </c>
      <c r="N38" s="63">
        <v>82.05</v>
      </c>
      <c r="O38" s="63"/>
      <c r="P38" s="63">
        <v>87.73</v>
      </c>
      <c r="Q38" s="63">
        <v>90.06</v>
      </c>
      <c r="R38" s="63">
        <v>18.18</v>
      </c>
      <c r="S38" s="63">
        <v>90.34</v>
      </c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5"/>
      <c r="AM38" s="56"/>
      <c r="AN38" s="65"/>
      <c r="AO38" s="55"/>
      <c r="AP38" s="56"/>
      <c r="AQ38" s="55"/>
      <c r="AR38" s="55"/>
    </row>
    <row r="39">
      <c r="A39" s="59" t="s">
        <v>54</v>
      </c>
      <c r="B39" s="59"/>
      <c r="C39" s="59" t="s">
        <v>131</v>
      </c>
      <c r="D39" s="60" t="s">
        <v>132</v>
      </c>
      <c r="E39" s="61">
        <v>26.0</v>
      </c>
      <c r="F39" s="61">
        <v>4348.0</v>
      </c>
      <c r="G39" s="61">
        <v>4103.0</v>
      </c>
      <c r="H39" s="62">
        <v>0.10092592592592593</v>
      </c>
      <c r="I39" s="61">
        <v>64.0</v>
      </c>
      <c r="J39" s="63">
        <f t="shared" si="3"/>
        <v>2.461538462</v>
      </c>
      <c r="K39" s="63">
        <v>86.07</v>
      </c>
      <c r="L39" s="61" t="str">
        <f t="shared" si="4"/>
        <v>85-90</v>
      </c>
      <c r="M39" s="63">
        <v>78.72</v>
      </c>
      <c r="N39" s="63">
        <v>81.76</v>
      </c>
      <c r="O39" s="63"/>
      <c r="P39" s="63">
        <v>87.84</v>
      </c>
      <c r="Q39" s="63">
        <v>91.37</v>
      </c>
      <c r="R39" s="63">
        <v>0.0</v>
      </c>
      <c r="S39" s="63">
        <v>92.14</v>
      </c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5"/>
      <c r="AM39" s="56"/>
      <c r="AN39" s="65"/>
      <c r="AO39" s="55"/>
      <c r="AP39" s="56"/>
      <c r="AQ39" s="55"/>
      <c r="AR39" s="55"/>
    </row>
    <row r="40">
      <c r="A40" s="59" t="s">
        <v>54</v>
      </c>
      <c r="B40" s="59"/>
      <c r="C40" s="59" t="s">
        <v>133</v>
      </c>
      <c r="D40" s="60" t="s">
        <v>134</v>
      </c>
      <c r="E40" s="61">
        <v>25.0</v>
      </c>
      <c r="F40" s="61">
        <v>3175.0</v>
      </c>
      <c r="G40" s="61">
        <v>2974.0</v>
      </c>
      <c r="H40" s="62">
        <v>0.0993287037037037</v>
      </c>
      <c r="I40" s="61">
        <v>64.0</v>
      </c>
      <c r="J40" s="63">
        <f t="shared" si="3"/>
        <v>2.56</v>
      </c>
      <c r="K40" s="63">
        <v>86.08</v>
      </c>
      <c r="L40" s="61" t="str">
        <f t="shared" si="4"/>
        <v>85-90</v>
      </c>
      <c r="M40" s="63">
        <v>77.42</v>
      </c>
      <c r="N40" s="63">
        <v>80.96</v>
      </c>
      <c r="O40" s="63"/>
      <c r="P40" s="63">
        <v>88.71</v>
      </c>
      <c r="Q40" s="63">
        <v>91.52</v>
      </c>
      <c r="R40" s="63">
        <v>0.0</v>
      </c>
      <c r="S40" s="63">
        <v>93.13</v>
      </c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5"/>
      <c r="AM40" s="56"/>
      <c r="AN40" s="65"/>
      <c r="AO40" s="55"/>
      <c r="AP40" s="56"/>
      <c r="AQ40" s="55"/>
      <c r="AR40" s="55"/>
    </row>
    <row r="41">
      <c r="A41" s="59" t="s">
        <v>54</v>
      </c>
      <c r="B41" s="59"/>
      <c r="C41" s="59" t="s">
        <v>135</v>
      </c>
      <c r="D41" s="60" t="s">
        <v>136</v>
      </c>
      <c r="E41" s="61">
        <v>25.0</v>
      </c>
      <c r="F41" s="61">
        <v>3964.0</v>
      </c>
      <c r="G41" s="61">
        <v>3770.0</v>
      </c>
      <c r="H41" s="62">
        <v>0.11773148148148148</v>
      </c>
      <c r="I41" s="61">
        <v>62.0</v>
      </c>
      <c r="J41" s="63">
        <f t="shared" si="3"/>
        <v>2.48</v>
      </c>
      <c r="K41" s="63">
        <v>86.09</v>
      </c>
      <c r="L41" s="61" t="str">
        <f t="shared" si="4"/>
        <v>85-90</v>
      </c>
      <c r="M41" s="63">
        <v>78.54</v>
      </c>
      <c r="N41" s="63">
        <v>79.91</v>
      </c>
      <c r="O41" s="63"/>
      <c r="P41" s="63">
        <v>89.03</v>
      </c>
      <c r="Q41" s="63">
        <v>92.17</v>
      </c>
      <c r="R41" s="63">
        <v>25.93</v>
      </c>
      <c r="S41" s="63">
        <v>92.06</v>
      </c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5"/>
      <c r="AM41" s="56"/>
      <c r="AN41" s="65"/>
      <c r="AO41" s="55"/>
      <c r="AP41" s="56"/>
      <c r="AQ41" s="55"/>
      <c r="AR41" s="55"/>
    </row>
    <row r="42">
      <c r="A42" s="59" t="s">
        <v>54</v>
      </c>
      <c r="B42" s="59"/>
      <c r="C42" s="59" t="s">
        <v>137</v>
      </c>
      <c r="D42" s="60" t="s">
        <v>138</v>
      </c>
      <c r="E42" s="61">
        <v>25.0</v>
      </c>
      <c r="F42" s="61">
        <v>3736.0</v>
      </c>
      <c r="G42" s="61">
        <v>3520.0</v>
      </c>
      <c r="H42" s="62">
        <v>0.14086805555555557</v>
      </c>
      <c r="I42" s="61">
        <v>90.0</v>
      </c>
      <c r="J42" s="63">
        <f t="shared" si="3"/>
        <v>3.6</v>
      </c>
      <c r="K42" s="63">
        <v>86.19</v>
      </c>
      <c r="L42" s="61" t="str">
        <f t="shared" si="4"/>
        <v>85-90</v>
      </c>
      <c r="M42" s="63">
        <v>80.63</v>
      </c>
      <c r="N42" s="63">
        <v>80.75</v>
      </c>
      <c r="O42" s="63"/>
      <c r="P42" s="63">
        <v>88.64</v>
      </c>
      <c r="Q42" s="63">
        <v>90.82</v>
      </c>
      <c r="R42" s="63">
        <v>0.0</v>
      </c>
      <c r="S42" s="63">
        <v>91.48</v>
      </c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5"/>
      <c r="AM42" s="56"/>
      <c r="AN42" s="65"/>
      <c r="AO42" s="55"/>
      <c r="AP42" s="56"/>
      <c r="AQ42" s="55"/>
      <c r="AR42" s="55"/>
    </row>
    <row r="43">
      <c r="A43" s="59" t="s">
        <v>54</v>
      </c>
      <c r="B43" s="59"/>
      <c r="C43" s="59" t="s">
        <v>139</v>
      </c>
      <c r="D43" s="60" t="s">
        <v>140</v>
      </c>
      <c r="E43" s="61">
        <v>22.0</v>
      </c>
      <c r="F43" s="61">
        <v>4143.0</v>
      </c>
      <c r="G43" s="61">
        <v>3887.0</v>
      </c>
      <c r="H43" s="62">
        <v>0.14297453703703702</v>
      </c>
      <c r="I43" s="61">
        <v>112.0</v>
      </c>
      <c r="J43" s="63">
        <f t="shared" si="3"/>
        <v>5.090909091</v>
      </c>
      <c r="K43" s="63">
        <v>86.21</v>
      </c>
      <c r="L43" s="61" t="str">
        <f t="shared" si="4"/>
        <v>85-90</v>
      </c>
      <c r="M43" s="63">
        <v>78.99</v>
      </c>
      <c r="N43" s="63">
        <v>82.24</v>
      </c>
      <c r="O43" s="63"/>
      <c r="P43" s="63">
        <v>89.43</v>
      </c>
      <c r="Q43" s="63">
        <v>91.83</v>
      </c>
      <c r="R43" s="63">
        <v>15.56</v>
      </c>
      <c r="S43" s="63">
        <v>92.11</v>
      </c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5"/>
      <c r="AM43" s="56"/>
      <c r="AN43" s="65"/>
      <c r="AO43" s="55"/>
      <c r="AP43" s="56"/>
      <c r="AQ43" s="55"/>
      <c r="AR43" s="55"/>
    </row>
    <row r="44">
      <c r="A44" s="59" t="s">
        <v>54</v>
      </c>
      <c r="B44" s="59"/>
      <c r="C44" s="59">
        <v>22490.0</v>
      </c>
      <c r="D44" s="60" t="s">
        <v>141</v>
      </c>
      <c r="E44" s="61">
        <v>24.0</v>
      </c>
      <c r="F44" s="61">
        <v>4210.0</v>
      </c>
      <c r="G44" s="61">
        <v>3602.0</v>
      </c>
      <c r="H44" s="62">
        <v>0.12248842592592593</v>
      </c>
      <c r="I44" s="61">
        <v>72.0</v>
      </c>
      <c r="J44" s="63">
        <f t="shared" si="3"/>
        <v>3</v>
      </c>
      <c r="K44" s="63">
        <v>86.22</v>
      </c>
      <c r="L44" s="61" t="str">
        <f t="shared" si="4"/>
        <v>85-90</v>
      </c>
      <c r="M44" s="63">
        <v>79.86</v>
      </c>
      <c r="N44" s="63">
        <v>81.52</v>
      </c>
      <c r="O44" s="63"/>
      <c r="P44" s="63">
        <v>87.76</v>
      </c>
      <c r="Q44" s="63">
        <v>89.53</v>
      </c>
      <c r="R44" s="63">
        <v>14.55</v>
      </c>
      <c r="S44" s="63">
        <v>90.77</v>
      </c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5"/>
      <c r="AM44" s="56"/>
      <c r="AN44" s="65"/>
      <c r="AO44" s="55"/>
      <c r="AP44" s="56"/>
      <c r="AQ44" s="55"/>
      <c r="AR44" s="55"/>
    </row>
    <row r="45">
      <c r="A45" s="59" t="s">
        <v>54</v>
      </c>
      <c r="B45" s="59"/>
      <c r="C45" s="59" t="s">
        <v>142</v>
      </c>
      <c r="D45" s="60" t="s">
        <v>143</v>
      </c>
      <c r="E45" s="61">
        <v>24.0</v>
      </c>
      <c r="F45" s="61">
        <v>3535.0</v>
      </c>
      <c r="G45" s="61">
        <v>3198.0</v>
      </c>
      <c r="H45" s="62">
        <v>0.10439814814814814</v>
      </c>
      <c r="I45" s="61">
        <v>122.0</v>
      </c>
      <c r="J45" s="63">
        <f t="shared" si="3"/>
        <v>5.083333333</v>
      </c>
      <c r="K45" s="63">
        <v>86.23</v>
      </c>
      <c r="L45" s="61" t="str">
        <f t="shared" si="4"/>
        <v>85-90</v>
      </c>
      <c r="M45" s="63">
        <v>77.16</v>
      </c>
      <c r="N45" s="63">
        <v>80.58</v>
      </c>
      <c r="O45" s="63"/>
      <c r="P45" s="63">
        <v>90.76</v>
      </c>
      <c r="Q45" s="63">
        <v>92.46</v>
      </c>
      <c r="R45" s="63">
        <v>15.0</v>
      </c>
      <c r="S45" s="63">
        <v>93.06</v>
      </c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5"/>
      <c r="AM45" s="56"/>
      <c r="AN45" s="65"/>
      <c r="AO45" s="55"/>
      <c r="AP45" s="56"/>
      <c r="AQ45" s="55"/>
      <c r="AR45" s="55"/>
    </row>
    <row r="46">
      <c r="A46" s="59" t="s">
        <v>54</v>
      </c>
      <c r="B46" s="59"/>
      <c r="C46" s="59" t="s">
        <v>144</v>
      </c>
      <c r="D46" s="60" t="s">
        <v>145</v>
      </c>
      <c r="E46" s="61">
        <v>27.0</v>
      </c>
      <c r="F46" s="61">
        <v>4756.0</v>
      </c>
      <c r="G46" s="61">
        <v>4181.0</v>
      </c>
      <c r="H46" s="62">
        <v>0.1588425925925926</v>
      </c>
      <c r="I46" s="61">
        <v>153.0</v>
      </c>
      <c r="J46" s="63">
        <f t="shared" si="3"/>
        <v>5.666666667</v>
      </c>
      <c r="K46" s="63">
        <v>86.28</v>
      </c>
      <c r="L46" s="61" t="str">
        <f t="shared" si="4"/>
        <v>85-90</v>
      </c>
      <c r="M46" s="63">
        <v>78.6</v>
      </c>
      <c r="N46" s="63">
        <v>81.82</v>
      </c>
      <c r="O46" s="63"/>
      <c r="P46" s="63">
        <v>88.7</v>
      </c>
      <c r="Q46" s="63">
        <v>91.16</v>
      </c>
      <c r="R46" s="63">
        <v>5.0</v>
      </c>
      <c r="S46" s="63">
        <v>91.41</v>
      </c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5"/>
      <c r="AM46" s="56"/>
      <c r="AN46" s="65"/>
      <c r="AO46" s="55"/>
      <c r="AP46" s="56"/>
      <c r="AQ46" s="55"/>
      <c r="AR46" s="55"/>
    </row>
    <row r="47">
      <c r="A47" s="59" t="s">
        <v>54</v>
      </c>
      <c r="B47" s="59"/>
      <c r="C47" s="59" t="s">
        <v>146</v>
      </c>
      <c r="D47" s="60" t="s">
        <v>147</v>
      </c>
      <c r="E47" s="61">
        <v>26.0</v>
      </c>
      <c r="F47" s="61">
        <v>4678.0</v>
      </c>
      <c r="G47" s="61">
        <v>4455.0</v>
      </c>
      <c r="H47" s="62">
        <v>0.11283564814814814</v>
      </c>
      <c r="I47" s="61">
        <v>78.0</v>
      </c>
      <c r="J47" s="63">
        <f t="shared" si="3"/>
        <v>3</v>
      </c>
      <c r="K47" s="63">
        <v>86.41</v>
      </c>
      <c r="L47" s="61" t="str">
        <f t="shared" si="4"/>
        <v>85-90</v>
      </c>
      <c r="M47" s="63">
        <v>79.37</v>
      </c>
      <c r="N47" s="63">
        <v>81.13</v>
      </c>
      <c r="O47" s="63"/>
      <c r="P47" s="63">
        <v>88.03</v>
      </c>
      <c r="Q47" s="63">
        <v>92.05</v>
      </c>
      <c r="R47" s="63">
        <v>18.33</v>
      </c>
      <c r="S47" s="63">
        <v>92.75</v>
      </c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5"/>
      <c r="AM47" s="56"/>
      <c r="AN47" s="65"/>
      <c r="AO47" s="55"/>
      <c r="AP47" s="56"/>
      <c r="AQ47" s="55"/>
      <c r="AR47" s="55"/>
    </row>
    <row r="48">
      <c r="A48" s="59" t="s">
        <v>54</v>
      </c>
      <c r="B48" s="59"/>
      <c r="C48" s="59">
        <v>22417.0</v>
      </c>
      <c r="D48" s="60" t="s">
        <v>148</v>
      </c>
      <c r="E48" s="61">
        <v>26.0</v>
      </c>
      <c r="F48" s="61">
        <v>4082.0</v>
      </c>
      <c r="G48" s="61">
        <v>3803.0</v>
      </c>
      <c r="H48" s="62">
        <v>0.11252314814814815</v>
      </c>
      <c r="I48" s="61">
        <v>204.0</v>
      </c>
      <c r="J48" s="63">
        <f t="shared" si="3"/>
        <v>7.846153846</v>
      </c>
      <c r="K48" s="63">
        <v>86.43</v>
      </c>
      <c r="L48" s="61" t="str">
        <f t="shared" si="4"/>
        <v>85-90</v>
      </c>
      <c r="M48" s="63">
        <v>80.26</v>
      </c>
      <c r="N48" s="63">
        <v>80.72</v>
      </c>
      <c r="O48" s="63"/>
      <c r="P48" s="63">
        <v>87.37</v>
      </c>
      <c r="Q48" s="63">
        <v>91.2</v>
      </c>
      <c r="R48" s="63">
        <v>14.29</v>
      </c>
      <c r="S48" s="63">
        <v>91.5</v>
      </c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5"/>
      <c r="AM48" s="56"/>
      <c r="AN48" s="65"/>
      <c r="AO48" s="55"/>
      <c r="AP48" s="56"/>
      <c r="AQ48" s="55"/>
      <c r="AR48" s="55"/>
    </row>
    <row r="49">
      <c r="A49" s="59" t="s">
        <v>54</v>
      </c>
      <c r="B49" s="59"/>
      <c r="C49" s="59" t="s">
        <v>149</v>
      </c>
      <c r="D49" s="60" t="s">
        <v>150</v>
      </c>
      <c r="E49" s="61">
        <v>25.0</v>
      </c>
      <c r="F49" s="61">
        <v>4240.0</v>
      </c>
      <c r="G49" s="61">
        <v>3973.0</v>
      </c>
      <c r="H49" s="62">
        <v>0.10612268518518518</v>
      </c>
      <c r="I49" s="61">
        <v>70.0</v>
      </c>
      <c r="J49" s="63">
        <f t="shared" si="3"/>
        <v>2.8</v>
      </c>
      <c r="K49" s="63">
        <v>86.48</v>
      </c>
      <c r="L49" s="61" t="str">
        <f t="shared" si="4"/>
        <v>85-90</v>
      </c>
      <c r="M49" s="63">
        <v>78.31</v>
      </c>
      <c r="N49" s="63">
        <v>80.92</v>
      </c>
      <c r="O49" s="63"/>
      <c r="P49" s="63">
        <v>89.29</v>
      </c>
      <c r="Q49" s="63">
        <v>91.39</v>
      </c>
      <c r="R49" s="63">
        <v>18.75</v>
      </c>
      <c r="S49" s="63">
        <v>93.15</v>
      </c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5"/>
      <c r="AM49" s="56"/>
      <c r="AN49" s="65"/>
      <c r="AO49" s="55"/>
      <c r="AP49" s="56"/>
      <c r="AQ49" s="55"/>
      <c r="AR49" s="55"/>
    </row>
    <row r="50">
      <c r="A50" s="59" t="s">
        <v>54</v>
      </c>
      <c r="B50" s="59"/>
      <c r="C50" s="59" t="s">
        <v>151</v>
      </c>
      <c r="D50" s="60" t="s">
        <v>152</v>
      </c>
      <c r="E50" s="61">
        <v>26.0</v>
      </c>
      <c r="F50" s="61">
        <v>3243.0</v>
      </c>
      <c r="G50" s="61">
        <v>2979.0</v>
      </c>
      <c r="H50" s="62">
        <v>0.19282407407407406</v>
      </c>
      <c r="I50" s="61">
        <v>146.0</v>
      </c>
      <c r="J50" s="63">
        <f t="shared" si="3"/>
        <v>5.615384615</v>
      </c>
      <c r="K50" s="63">
        <v>86.58</v>
      </c>
      <c r="L50" s="61" t="str">
        <f t="shared" si="4"/>
        <v>85-90</v>
      </c>
      <c r="M50" s="63">
        <v>81.84</v>
      </c>
      <c r="N50" s="63">
        <v>82.47</v>
      </c>
      <c r="O50" s="63"/>
      <c r="P50" s="63">
        <v>88.19</v>
      </c>
      <c r="Q50" s="63">
        <v>90.23</v>
      </c>
      <c r="R50" s="63">
        <v>20.0</v>
      </c>
      <c r="S50" s="63">
        <v>91.19</v>
      </c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5"/>
      <c r="AM50" s="56"/>
      <c r="AN50" s="65"/>
      <c r="AO50" s="55"/>
      <c r="AP50" s="56"/>
      <c r="AQ50" s="55"/>
      <c r="AR50" s="55"/>
    </row>
    <row r="51">
      <c r="A51" s="59" t="s">
        <v>54</v>
      </c>
      <c r="B51" s="59"/>
      <c r="C51" s="59">
        <v>22484.0</v>
      </c>
      <c r="D51" s="60" t="s">
        <v>153</v>
      </c>
      <c r="E51" s="61">
        <v>24.0</v>
      </c>
      <c r="F51" s="61">
        <v>3545.0</v>
      </c>
      <c r="G51" s="61">
        <v>3328.0</v>
      </c>
      <c r="H51" s="62">
        <v>0.09304398148148148</v>
      </c>
      <c r="I51" s="61">
        <v>68.0</v>
      </c>
      <c r="J51" s="63">
        <f t="shared" si="3"/>
        <v>2.833333333</v>
      </c>
      <c r="K51" s="63">
        <v>86.65</v>
      </c>
      <c r="L51" s="61" t="str">
        <f t="shared" si="4"/>
        <v>85-90</v>
      </c>
      <c r="M51" s="63">
        <v>80.82</v>
      </c>
      <c r="N51" s="63">
        <v>80.08</v>
      </c>
      <c r="O51" s="63"/>
      <c r="P51" s="63">
        <v>89.2</v>
      </c>
      <c r="Q51" s="63">
        <v>91.22</v>
      </c>
      <c r="R51" s="63">
        <v>0.0</v>
      </c>
      <c r="S51" s="63">
        <v>92.8</v>
      </c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5"/>
      <c r="AM51" s="56"/>
      <c r="AN51" s="65"/>
      <c r="AO51" s="55"/>
      <c r="AP51" s="56"/>
      <c r="AQ51" s="55"/>
      <c r="AR51" s="55"/>
    </row>
    <row r="52">
      <c r="A52" s="59" t="s">
        <v>54</v>
      </c>
      <c r="B52" s="59"/>
      <c r="C52" s="59">
        <v>21533.0</v>
      </c>
      <c r="D52" s="60" t="s">
        <v>154</v>
      </c>
      <c r="E52" s="61">
        <v>20.0</v>
      </c>
      <c r="F52" s="61">
        <v>3452.0</v>
      </c>
      <c r="G52" s="61">
        <v>3213.0</v>
      </c>
      <c r="H52" s="62">
        <v>0.15915509259259258</v>
      </c>
      <c r="I52" s="61">
        <v>130.0</v>
      </c>
      <c r="J52" s="63">
        <f t="shared" si="3"/>
        <v>6.5</v>
      </c>
      <c r="K52" s="63">
        <v>86.74</v>
      </c>
      <c r="L52" s="61" t="str">
        <f t="shared" si="4"/>
        <v>85-90</v>
      </c>
      <c r="M52" s="63">
        <v>81.34</v>
      </c>
      <c r="N52" s="63">
        <v>82.82</v>
      </c>
      <c r="O52" s="63"/>
      <c r="P52" s="63">
        <v>88.94</v>
      </c>
      <c r="Q52" s="63">
        <v>90.29</v>
      </c>
      <c r="R52" s="63"/>
      <c r="S52" s="63">
        <v>91.66</v>
      </c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5"/>
      <c r="AM52" s="56"/>
      <c r="AN52" s="65"/>
      <c r="AO52" s="55"/>
      <c r="AP52" s="56"/>
      <c r="AQ52" s="55"/>
      <c r="AR52" s="55"/>
    </row>
    <row r="53">
      <c r="A53" s="59" t="s">
        <v>54</v>
      </c>
      <c r="B53" s="59"/>
      <c r="C53" s="59" t="s">
        <v>155</v>
      </c>
      <c r="D53" s="60" t="s">
        <v>156</v>
      </c>
      <c r="E53" s="61">
        <v>27.0</v>
      </c>
      <c r="F53" s="61">
        <v>3576.0</v>
      </c>
      <c r="G53" s="61">
        <v>3305.0</v>
      </c>
      <c r="H53" s="62">
        <v>0.1516898148148148</v>
      </c>
      <c r="I53" s="61">
        <v>175.0</v>
      </c>
      <c r="J53" s="63">
        <f t="shared" si="3"/>
        <v>6.481481481</v>
      </c>
      <c r="K53" s="63">
        <v>86.76</v>
      </c>
      <c r="L53" s="61" t="str">
        <f t="shared" si="4"/>
        <v>85-90</v>
      </c>
      <c r="M53" s="63">
        <v>79.29</v>
      </c>
      <c r="N53" s="63">
        <v>84.56</v>
      </c>
      <c r="O53" s="63"/>
      <c r="P53" s="63">
        <v>87.94</v>
      </c>
      <c r="Q53" s="63">
        <v>91.61</v>
      </c>
      <c r="R53" s="63">
        <v>21.43</v>
      </c>
      <c r="S53" s="63">
        <v>92.16</v>
      </c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5"/>
      <c r="AM53" s="56"/>
      <c r="AN53" s="65"/>
      <c r="AO53" s="55"/>
      <c r="AP53" s="56"/>
      <c r="AQ53" s="55"/>
      <c r="AR53" s="55"/>
    </row>
    <row r="54">
      <c r="A54" s="59" t="s">
        <v>54</v>
      </c>
      <c r="B54" s="59"/>
      <c r="C54" s="59" t="s">
        <v>157</v>
      </c>
      <c r="D54" s="60" t="s">
        <v>158</v>
      </c>
      <c r="E54" s="61">
        <v>26.0</v>
      </c>
      <c r="F54" s="61">
        <v>3483.0</v>
      </c>
      <c r="G54" s="61">
        <v>3353.0</v>
      </c>
      <c r="H54" s="62">
        <v>0.09537037037037037</v>
      </c>
      <c r="I54" s="61">
        <v>60.0</v>
      </c>
      <c r="J54" s="63">
        <f t="shared" si="3"/>
        <v>2.307692308</v>
      </c>
      <c r="K54" s="63">
        <v>86.83</v>
      </c>
      <c r="L54" s="61" t="str">
        <f t="shared" si="4"/>
        <v>85-90</v>
      </c>
      <c r="M54" s="63">
        <v>80.76</v>
      </c>
      <c r="N54" s="63">
        <v>82.57</v>
      </c>
      <c r="O54" s="63"/>
      <c r="P54" s="63">
        <v>88.57</v>
      </c>
      <c r="Q54" s="63">
        <v>91.74</v>
      </c>
      <c r="R54" s="63">
        <v>16.67</v>
      </c>
      <c r="S54" s="63">
        <v>92.68</v>
      </c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5"/>
      <c r="AM54" s="56"/>
      <c r="AN54" s="65"/>
      <c r="AO54" s="55"/>
      <c r="AP54" s="56"/>
      <c r="AQ54" s="55"/>
      <c r="AR54" s="55"/>
    </row>
    <row r="55">
      <c r="A55" s="59" t="s">
        <v>54</v>
      </c>
      <c r="B55" s="59"/>
      <c r="C55" s="59" t="s">
        <v>159</v>
      </c>
      <c r="D55" s="60" t="s">
        <v>160</v>
      </c>
      <c r="E55" s="61">
        <v>26.0</v>
      </c>
      <c r="F55" s="61">
        <v>3609.0</v>
      </c>
      <c r="G55" s="61">
        <v>3393.0</v>
      </c>
      <c r="H55" s="62">
        <v>0.11690972222222222</v>
      </c>
      <c r="I55" s="61">
        <v>52.0</v>
      </c>
      <c r="J55" s="63">
        <f t="shared" si="3"/>
        <v>2</v>
      </c>
      <c r="K55" s="63">
        <v>87.02</v>
      </c>
      <c r="L55" s="61" t="str">
        <f t="shared" si="4"/>
        <v>85-90</v>
      </c>
      <c r="M55" s="63">
        <v>80.57</v>
      </c>
      <c r="N55" s="63">
        <v>83.5</v>
      </c>
      <c r="O55" s="63"/>
      <c r="P55" s="63">
        <v>88.74</v>
      </c>
      <c r="Q55" s="63">
        <v>91.13</v>
      </c>
      <c r="R55" s="63">
        <v>13.33</v>
      </c>
      <c r="S55" s="63">
        <v>92.02</v>
      </c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5"/>
      <c r="AM55" s="56"/>
      <c r="AN55" s="65"/>
      <c r="AO55" s="55"/>
      <c r="AP55" s="56"/>
      <c r="AQ55" s="55"/>
      <c r="AR55" s="55"/>
    </row>
    <row r="56">
      <c r="A56" s="59" t="s">
        <v>54</v>
      </c>
      <c r="B56" s="59"/>
      <c r="C56" s="59" t="s">
        <v>161</v>
      </c>
      <c r="D56" s="60" t="s">
        <v>162</v>
      </c>
      <c r="E56" s="61">
        <v>25.0</v>
      </c>
      <c r="F56" s="61">
        <v>3956.0</v>
      </c>
      <c r="G56" s="61">
        <v>3769.0</v>
      </c>
      <c r="H56" s="62">
        <v>0.11599537037037037</v>
      </c>
      <c r="I56" s="61">
        <v>87.0</v>
      </c>
      <c r="J56" s="63">
        <f t="shared" si="3"/>
        <v>3.48</v>
      </c>
      <c r="K56" s="63">
        <v>87.02</v>
      </c>
      <c r="L56" s="61" t="str">
        <f t="shared" si="4"/>
        <v>85-90</v>
      </c>
      <c r="M56" s="63">
        <v>79.21</v>
      </c>
      <c r="N56" s="63">
        <v>81.19</v>
      </c>
      <c r="O56" s="63"/>
      <c r="P56" s="63">
        <v>90.33</v>
      </c>
      <c r="Q56" s="63">
        <v>91.93</v>
      </c>
      <c r="R56" s="63">
        <v>33.33</v>
      </c>
      <c r="S56" s="63">
        <v>92.99</v>
      </c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5"/>
      <c r="AM56" s="56"/>
      <c r="AN56" s="65"/>
      <c r="AO56" s="55"/>
      <c r="AP56" s="56"/>
      <c r="AQ56" s="55"/>
      <c r="AR56" s="55"/>
    </row>
    <row r="57">
      <c r="A57" s="59" t="s">
        <v>54</v>
      </c>
      <c r="B57" s="59"/>
      <c r="C57" s="59" t="s">
        <v>163</v>
      </c>
      <c r="D57" s="60" t="s">
        <v>164</v>
      </c>
      <c r="E57" s="61">
        <v>24.0</v>
      </c>
      <c r="F57" s="61">
        <v>3732.0</v>
      </c>
      <c r="G57" s="61">
        <v>3108.0</v>
      </c>
      <c r="H57" s="62">
        <v>0.2041087962962963</v>
      </c>
      <c r="I57" s="61">
        <v>140.0</v>
      </c>
      <c r="J57" s="63">
        <f t="shared" si="3"/>
        <v>5.833333333</v>
      </c>
      <c r="K57" s="63">
        <v>87.12</v>
      </c>
      <c r="L57" s="61" t="str">
        <f t="shared" si="4"/>
        <v>85-90</v>
      </c>
      <c r="M57" s="63">
        <v>82.95</v>
      </c>
      <c r="N57" s="63">
        <v>80.76</v>
      </c>
      <c r="O57" s="63"/>
      <c r="P57" s="63">
        <v>88.23</v>
      </c>
      <c r="Q57" s="63">
        <v>91.21</v>
      </c>
      <c r="R57" s="63">
        <v>18.18</v>
      </c>
      <c r="S57" s="63">
        <v>91.88</v>
      </c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5"/>
      <c r="AM57" s="56"/>
      <c r="AN57" s="65"/>
      <c r="AO57" s="55"/>
      <c r="AP57" s="56"/>
      <c r="AQ57" s="55"/>
      <c r="AR57" s="55"/>
    </row>
    <row r="58">
      <c r="A58" s="59" t="s">
        <v>54</v>
      </c>
      <c r="B58" s="59"/>
      <c r="C58" s="59">
        <v>22419.0</v>
      </c>
      <c r="D58" s="60" t="s">
        <v>165</v>
      </c>
      <c r="E58" s="61">
        <v>6.0</v>
      </c>
      <c r="F58" s="61">
        <v>981.0</v>
      </c>
      <c r="G58" s="61">
        <v>914.0</v>
      </c>
      <c r="H58" s="66">
        <v>0.10935185185185185</v>
      </c>
      <c r="I58" s="61">
        <v>24.0</v>
      </c>
      <c r="J58" s="63">
        <f t="shared" si="3"/>
        <v>4</v>
      </c>
      <c r="K58" s="63">
        <v>87.13</v>
      </c>
      <c r="L58" s="61" t="str">
        <f t="shared" si="4"/>
        <v>85-90</v>
      </c>
      <c r="M58" s="63">
        <v>82.95</v>
      </c>
      <c r="N58" s="63">
        <v>86.48</v>
      </c>
      <c r="O58" s="63"/>
      <c r="P58" s="63">
        <v>87.61</v>
      </c>
      <c r="Q58" s="63">
        <v>89.78</v>
      </c>
      <c r="R58" s="63">
        <v>30.77</v>
      </c>
      <c r="S58" s="63">
        <v>90.7</v>
      </c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5"/>
      <c r="AM58" s="56"/>
      <c r="AN58" s="65"/>
      <c r="AO58" s="55"/>
      <c r="AP58" s="56"/>
      <c r="AQ58" s="55"/>
      <c r="AR58" s="55"/>
    </row>
    <row r="59">
      <c r="A59" s="59" t="s">
        <v>54</v>
      </c>
      <c r="B59" s="59"/>
      <c r="C59" s="59" t="s">
        <v>166</v>
      </c>
      <c r="D59" s="60" t="s">
        <v>167</v>
      </c>
      <c r="E59" s="61">
        <v>24.0</v>
      </c>
      <c r="F59" s="61">
        <v>3142.0</v>
      </c>
      <c r="G59" s="61">
        <v>2966.0</v>
      </c>
      <c r="H59" s="62">
        <v>0.14109953703703704</v>
      </c>
      <c r="I59" s="61">
        <v>162.0</v>
      </c>
      <c r="J59" s="63">
        <f t="shared" si="3"/>
        <v>6.75</v>
      </c>
      <c r="K59" s="63">
        <v>87.2</v>
      </c>
      <c r="L59" s="61" t="str">
        <f t="shared" si="4"/>
        <v>85-90</v>
      </c>
      <c r="M59" s="63">
        <v>79.03</v>
      </c>
      <c r="N59" s="63">
        <v>82.79</v>
      </c>
      <c r="O59" s="63"/>
      <c r="P59" s="63">
        <v>89.47</v>
      </c>
      <c r="Q59" s="63">
        <v>91.25</v>
      </c>
      <c r="R59" s="63">
        <v>22.73</v>
      </c>
      <c r="S59" s="63">
        <v>91.78</v>
      </c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5"/>
      <c r="AM59" s="56"/>
      <c r="AN59" s="65"/>
      <c r="AO59" s="55"/>
      <c r="AP59" s="56"/>
      <c r="AQ59" s="55"/>
      <c r="AR59" s="55"/>
    </row>
    <row r="60">
      <c r="A60" s="59" t="s">
        <v>54</v>
      </c>
      <c r="B60" s="59"/>
      <c r="C60" s="59" t="s">
        <v>168</v>
      </c>
      <c r="D60" s="60" t="s">
        <v>169</v>
      </c>
      <c r="E60" s="61">
        <v>27.0</v>
      </c>
      <c r="F60" s="61">
        <v>4988.0</v>
      </c>
      <c r="G60" s="61">
        <v>4685.0</v>
      </c>
      <c r="H60" s="62">
        <v>0.1647337962962963</v>
      </c>
      <c r="I60" s="61">
        <v>160.0</v>
      </c>
      <c r="J60" s="63">
        <f t="shared" si="3"/>
        <v>5.925925926</v>
      </c>
      <c r="K60" s="63">
        <v>87.26</v>
      </c>
      <c r="L60" s="61" t="str">
        <f t="shared" si="4"/>
        <v>85-90</v>
      </c>
      <c r="M60" s="63">
        <v>81.56</v>
      </c>
      <c r="N60" s="63">
        <v>81.78</v>
      </c>
      <c r="O60" s="63"/>
      <c r="P60" s="63">
        <v>88.62</v>
      </c>
      <c r="Q60" s="63">
        <v>90.98</v>
      </c>
      <c r="R60" s="63">
        <v>16.67</v>
      </c>
      <c r="S60" s="63">
        <v>91.72</v>
      </c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5"/>
      <c r="AM60" s="56"/>
      <c r="AN60" s="65"/>
      <c r="AO60" s="55"/>
      <c r="AP60" s="56"/>
      <c r="AQ60" s="55"/>
      <c r="AR60" s="55"/>
    </row>
    <row r="61">
      <c r="A61" s="59" t="s">
        <v>54</v>
      </c>
      <c r="B61" s="59"/>
      <c r="C61" s="59" t="s">
        <v>170</v>
      </c>
      <c r="D61" s="60" t="s">
        <v>171</v>
      </c>
      <c r="E61" s="61">
        <v>24.0</v>
      </c>
      <c r="F61" s="61">
        <v>4501.0</v>
      </c>
      <c r="G61" s="61">
        <v>3926.0</v>
      </c>
      <c r="H61" s="62">
        <v>0.15300925925925926</v>
      </c>
      <c r="I61" s="61">
        <v>121.0</v>
      </c>
      <c r="J61" s="63">
        <f t="shared" si="3"/>
        <v>5.041666667</v>
      </c>
      <c r="K61" s="63">
        <v>87.29</v>
      </c>
      <c r="L61" s="61" t="str">
        <f t="shared" si="4"/>
        <v>85-90</v>
      </c>
      <c r="M61" s="63">
        <v>79.46</v>
      </c>
      <c r="N61" s="63">
        <v>83.31</v>
      </c>
      <c r="O61" s="63"/>
      <c r="P61" s="63">
        <v>89.34</v>
      </c>
      <c r="Q61" s="63">
        <v>90.96</v>
      </c>
      <c r="R61" s="63">
        <v>10.77</v>
      </c>
      <c r="S61" s="63">
        <v>92.74</v>
      </c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5"/>
      <c r="AM61" s="56"/>
      <c r="AN61" s="65"/>
      <c r="AO61" s="55"/>
      <c r="AP61" s="56"/>
      <c r="AQ61" s="55"/>
      <c r="AR61" s="55"/>
    </row>
    <row r="62">
      <c r="A62" s="59" t="s">
        <v>54</v>
      </c>
      <c r="B62" s="59"/>
      <c r="C62" s="59" t="s">
        <v>172</v>
      </c>
      <c r="D62" s="60" t="s">
        <v>173</v>
      </c>
      <c r="E62" s="61">
        <v>25.0</v>
      </c>
      <c r="F62" s="61">
        <v>3993.0</v>
      </c>
      <c r="G62" s="61">
        <v>3758.0</v>
      </c>
      <c r="H62" s="62">
        <v>0.10969907407407407</v>
      </c>
      <c r="I62" s="61">
        <v>80.0</v>
      </c>
      <c r="J62" s="63">
        <f t="shared" si="3"/>
        <v>3.2</v>
      </c>
      <c r="K62" s="63">
        <v>87.31</v>
      </c>
      <c r="L62" s="61" t="str">
        <f t="shared" si="4"/>
        <v>85-90</v>
      </c>
      <c r="M62" s="63">
        <v>78.61</v>
      </c>
      <c r="N62" s="63">
        <v>83.16</v>
      </c>
      <c r="O62" s="63"/>
      <c r="P62" s="63">
        <v>90.09</v>
      </c>
      <c r="Q62" s="63">
        <v>92.79</v>
      </c>
      <c r="R62" s="63">
        <v>20.45</v>
      </c>
      <c r="S62" s="63">
        <v>93.19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5"/>
      <c r="AM62" s="56"/>
      <c r="AN62" s="65"/>
      <c r="AO62" s="55"/>
      <c r="AP62" s="56"/>
      <c r="AQ62" s="55"/>
      <c r="AR62" s="55"/>
    </row>
    <row r="63">
      <c r="A63" s="59" t="s">
        <v>54</v>
      </c>
      <c r="B63" s="59"/>
      <c r="C63" s="59" t="s">
        <v>174</v>
      </c>
      <c r="D63" s="60" t="s">
        <v>175</v>
      </c>
      <c r="E63" s="61">
        <v>25.0</v>
      </c>
      <c r="F63" s="61">
        <v>4422.0</v>
      </c>
      <c r="G63" s="61">
        <v>4075.0</v>
      </c>
      <c r="H63" s="62">
        <v>0.1691087962962963</v>
      </c>
      <c r="I63" s="61">
        <v>141.0</v>
      </c>
      <c r="J63" s="63">
        <f t="shared" si="3"/>
        <v>5.64</v>
      </c>
      <c r="K63" s="63">
        <v>87.32</v>
      </c>
      <c r="L63" s="61" t="str">
        <f t="shared" si="4"/>
        <v>85-90</v>
      </c>
      <c r="M63" s="63">
        <v>80.36</v>
      </c>
      <c r="N63" s="63">
        <v>83.08</v>
      </c>
      <c r="O63" s="63"/>
      <c r="P63" s="63">
        <v>89.02</v>
      </c>
      <c r="Q63" s="63">
        <v>91.45</v>
      </c>
      <c r="R63" s="63">
        <v>25.0</v>
      </c>
      <c r="S63" s="63">
        <v>91.42</v>
      </c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5"/>
      <c r="AM63" s="56"/>
      <c r="AN63" s="65"/>
      <c r="AO63" s="55"/>
      <c r="AP63" s="56"/>
      <c r="AQ63" s="55"/>
      <c r="AR63" s="55"/>
    </row>
    <row r="64">
      <c r="A64" s="59" t="s">
        <v>54</v>
      </c>
      <c r="B64" s="59"/>
      <c r="C64" s="59" t="s">
        <v>176</v>
      </c>
      <c r="D64" s="60" t="s">
        <v>177</v>
      </c>
      <c r="E64" s="61">
        <v>25.0</v>
      </c>
      <c r="F64" s="61">
        <v>2979.0</v>
      </c>
      <c r="G64" s="61">
        <v>2807.0</v>
      </c>
      <c r="H64" s="62">
        <v>0.10413194444444444</v>
      </c>
      <c r="I64" s="61">
        <v>60.0</v>
      </c>
      <c r="J64" s="63">
        <f t="shared" si="3"/>
        <v>2.4</v>
      </c>
      <c r="K64" s="63">
        <v>87.33</v>
      </c>
      <c r="L64" s="61" t="str">
        <f t="shared" si="4"/>
        <v>85-90</v>
      </c>
      <c r="M64" s="63">
        <v>80.79</v>
      </c>
      <c r="N64" s="63">
        <v>80.68</v>
      </c>
      <c r="O64" s="63"/>
      <c r="P64" s="63">
        <v>90.08</v>
      </c>
      <c r="Q64" s="63">
        <v>92.58</v>
      </c>
      <c r="R64" s="63">
        <v>0.0</v>
      </c>
      <c r="S64" s="63">
        <v>92.79</v>
      </c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5"/>
      <c r="AM64" s="56"/>
      <c r="AN64" s="65"/>
      <c r="AO64" s="55"/>
      <c r="AP64" s="56"/>
      <c r="AQ64" s="55"/>
      <c r="AR64" s="55"/>
    </row>
    <row r="65">
      <c r="A65" s="59" t="s">
        <v>54</v>
      </c>
      <c r="B65" s="59"/>
      <c r="C65" s="59">
        <v>22076.0</v>
      </c>
      <c r="D65" s="60" t="s">
        <v>178</v>
      </c>
      <c r="E65" s="61">
        <v>26.0</v>
      </c>
      <c r="F65" s="61">
        <v>3801.0</v>
      </c>
      <c r="G65" s="61">
        <v>3500.0</v>
      </c>
      <c r="H65" s="62">
        <v>0.14581018518518518</v>
      </c>
      <c r="I65" s="61">
        <v>187.0</v>
      </c>
      <c r="J65" s="63">
        <f t="shared" si="3"/>
        <v>7.192307692</v>
      </c>
      <c r="K65" s="63">
        <v>87.33</v>
      </c>
      <c r="L65" s="61" t="str">
        <f t="shared" si="4"/>
        <v>85-90</v>
      </c>
      <c r="M65" s="63">
        <v>82.53</v>
      </c>
      <c r="N65" s="63">
        <v>83.66</v>
      </c>
      <c r="O65" s="63"/>
      <c r="P65" s="63">
        <v>88.43</v>
      </c>
      <c r="Q65" s="63">
        <v>91.36</v>
      </c>
      <c r="R65" s="63">
        <v>11.11</v>
      </c>
      <c r="S65" s="63">
        <v>91.76</v>
      </c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5"/>
      <c r="AM65" s="56"/>
      <c r="AN65" s="65"/>
      <c r="AO65" s="55"/>
      <c r="AP65" s="56"/>
      <c r="AQ65" s="55"/>
      <c r="AR65" s="55"/>
    </row>
    <row r="66">
      <c r="A66" s="59" t="s">
        <v>54</v>
      </c>
      <c r="B66" s="59"/>
      <c r="C66" s="59" t="s">
        <v>179</v>
      </c>
      <c r="D66" s="60" t="s">
        <v>180</v>
      </c>
      <c r="E66" s="61">
        <v>26.0</v>
      </c>
      <c r="F66" s="61">
        <v>3274.0</v>
      </c>
      <c r="G66" s="61">
        <v>3130.0</v>
      </c>
      <c r="H66" s="62">
        <v>0.07780092592592593</v>
      </c>
      <c r="I66" s="61">
        <v>47.0</v>
      </c>
      <c r="J66" s="63">
        <f t="shared" si="3"/>
        <v>1.807692308</v>
      </c>
      <c r="K66" s="63">
        <v>87.35</v>
      </c>
      <c r="L66" s="61" t="str">
        <f t="shared" si="4"/>
        <v>85-90</v>
      </c>
      <c r="M66" s="63">
        <v>81.17</v>
      </c>
      <c r="N66" s="63">
        <v>80.22</v>
      </c>
      <c r="O66" s="63"/>
      <c r="P66" s="63">
        <v>88.16</v>
      </c>
      <c r="Q66" s="63">
        <v>93.12</v>
      </c>
      <c r="R66" s="63">
        <v>25.0</v>
      </c>
      <c r="S66" s="63">
        <v>93.12</v>
      </c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5"/>
      <c r="AM66" s="56"/>
      <c r="AN66" s="65"/>
      <c r="AO66" s="55"/>
      <c r="AP66" s="56"/>
      <c r="AQ66" s="55"/>
      <c r="AR66" s="55"/>
    </row>
    <row r="67">
      <c r="A67" s="59" t="s">
        <v>54</v>
      </c>
      <c r="B67" s="59"/>
      <c r="C67" s="59" t="s">
        <v>181</v>
      </c>
      <c r="D67" s="60" t="s">
        <v>182</v>
      </c>
      <c r="E67" s="61">
        <v>26.0</v>
      </c>
      <c r="F67" s="61">
        <v>3281.0</v>
      </c>
      <c r="G67" s="61">
        <v>3067.0</v>
      </c>
      <c r="H67" s="62">
        <v>0.13872685185185185</v>
      </c>
      <c r="I67" s="61">
        <v>39.0</v>
      </c>
      <c r="J67" s="63">
        <f t="shared" si="3"/>
        <v>1.5</v>
      </c>
      <c r="K67" s="63">
        <v>87.38</v>
      </c>
      <c r="L67" s="61" t="str">
        <f t="shared" si="4"/>
        <v>85-90</v>
      </c>
      <c r="M67" s="63">
        <v>83.47</v>
      </c>
      <c r="N67" s="63">
        <v>80.43</v>
      </c>
      <c r="O67" s="63"/>
      <c r="P67" s="63">
        <v>88.62</v>
      </c>
      <c r="Q67" s="63">
        <v>91.74</v>
      </c>
      <c r="R67" s="63">
        <v>33.33</v>
      </c>
      <c r="S67" s="63">
        <v>91.75</v>
      </c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5"/>
      <c r="AM67" s="56"/>
      <c r="AN67" s="65"/>
      <c r="AO67" s="55"/>
      <c r="AP67" s="56"/>
      <c r="AQ67" s="55"/>
      <c r="AR67" s="55"/>
    </row>
    <row r="68">
      <c r="A68" s="59" t="s">
        <v>54</v>
      </c>
      <c r="B68" s="59"/>
      <c r="C68" s="59">
        <v>22436.0</v>
      </c>
      <c r="D68" s="60" t="s">
        <v>183</v>
      </c>
      <c r="E68" s="61">
        <v>25.0</v>
      </c>
      <c r="F68" s="61">
        <v>4454.0</v>
      </c>
      <c r="G68" s="61">
        <v>4159.0</v>
      </c>
      <c r="H68" s="62">
        <v>0.1719675925925926</v>
      </c>
      <c r="I68" s="61">
        <v>136.0</v>
      </c>
      <c r="J68" s="63">
        <f t="shared" si="3"/>
        <v>5.44</v>
      </c>
      <c r="K68" s="63">
        <v>87.45</v>
      </c>
      <c r="L68" s="61" t="str">
        <f t="shared" si="4"/>
        <v>85-90</v>
      </c>
      <c r="M68" s="63">
        <v>80.67</v>
      </c>
      <c r="N68" s="63">
        <v>83.77</v>
      </c>
      <c r="O68" s="63"/>
      <c r="P68" s="63">
        <v>88.44</v>
      </c>
      <c r="Q68" s="63">
        <v>91.32</v>
      </c>
      <c r="R68" s="63">
        <v>9.09</v>
      </c>
      <c r="S68" s="63">
        <v>92.21</v>
      </c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5"/>
      <c r="AM68" s="56"/>
      <c r="AN68" s="65"/>
      <c r="AO68" s="55"/>
      <c r="AP68" s="56"/>
      <c r="AQ68" s="55"/>
      <c r="AR68" s="55"/>
    </row>
    <row r="69">
      <c r="A69" s="59" t="s">
        <v>54</v>
      </c>
      <c r="B69" s="59"/>
      <c r="C69" s="59">
        <v>22482.0</v>
      </c>
      <c r="D69" s="60" t="s">
        <v>184</v>
      </c>
      <c r="E69" s="61">
        <v>26.0</v>
      </c>
      <c r="F69" s="61">
        <v>3551.0</v>
      </c>
      <c r="G69" s="61">
        <v>3256.0</v>
      </c>
      <c r="H69" s="62">
        <v>0.1486111111111111</v>
      </c>
      <c r="I69" s="61">
        <v>54.0</v>
      </c>
      <c r="J69" s="63">
        <f t="shared" si="3"/>
        <v>2.076923077</v>
      </c>
      <c r="K69" s="63">
        <v>87.48</v>
      </c>
      <c r="L69" s="61" t="str">
        <f t="shared" si="4"/>
        <v>85-90</v>
      </c>
      <c r="M69" s="63">
        <v>84.93</v>
      </c>
      <c r="N69" s="63">
        <v>84.77</v>
      </c>
      <c r="O69" s="63"/>
      <c r="P69" s="63">
        <v>88.4</v>
      </c>
      <c r="Q69" s="63">
        <v>89.67</v>
      </c>
      <c r="R69" s="63">
        <v>18.75</v>
      </c>
      <c r="S69" s="63">
        <v>91.79</v>
      </c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5"/>
      <c r="AM69" s="56"/>
      <c r="AN69" s="65"/>
      <c r="AO69" s="55"/>
      <c r="AP69" s="56"/>
      <c r="AQ69" s="55"/>
      <c r="AR69" s="55"/>
    </row>
    <row r="70">
      <c r="A70" s="59" t="s">
        <v>54</v>
      </c>
      <c r="B70" s="59"/>
      <c r="C70" s="59" t="s">
        <v>185</v>
      </c>
      <c r="D70" s="60" t="s">
        <v>186</v>
      </c>
      <c r="E70" s="61">
        <v>26.0</v>
      </c>
      <c r="F70" s="61">
        <v>3984.0</v>
      </c>
      <c r="G70" s="61">
        <v>3864.0</v>
      </c>
      <c r="H70" s="62">
        <v>0.13400462962962964</v>
      </c>
      <c r="I70" s="61">
        <v>121.0</v>
      </c>
      <c r="J70" s="63">
        <f t="shared" si="3"/>
        <v>4.653846154</v>
      </c>
      <c r="K70" s="63">
        <v>87.51</v>
      </c>
      <c r="L70" s="61" t="str">
        <f t="shared" si="4"/>
        <v>85-90</v>
      </c>
      <c r="M70" s="63">
        <v>81.7</v>
      </c>
      <c r="N70" s="63">
        <v>83.54</v>
      </c>
      <c r="O70" s="63"/>
      <c r="P70" s="63">
        <v>87.55</v>
      </c>
      <c r="Q70" s="63">
        <v>90.94</v>
      </c>
      <c r="R70" s="63">
        <v>19.44</v>
      </c>
      <c r="S70" s="63">
        <v>92.03</v>
      </c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5"/>
      <c r="AM70" s="56"/>
      <c r="AN70" s="65"/>
      <c r="AO70" s="55"/>
      <c r="AP70" s="56"/>
      <c r="AQ70" s="55"/>
      <c r="AR70" s="55"/>
    </row>
    <row r="71">
      <c r="A71" s="59" t="s">
        <v>54</v>
      </c>
      <c r="B71" s="59"/>
      <c r="C71" s="59" t="s">
        <v>187</v>
      </c>
      <c r="D71" s="60" t="s">
        <v>188</v>
      </c>
      <c r="E71" s="61">
        <v>23.0</v>
      </c>
      <c r="F71" s="61">
        <v>3745.0</v>
      </c>
      <c r="G71" s="61">
        <v>3488.0</v>
      </c>
      <c r="H71" s="62">
        <v>0.1150462962962963</v>
      </c>
      <c r="I71" s="61">
        <v>83.0</v>
      </c>
      <c r="J71" s="63">
        <f t="shared" si="3"/>
        <v>3.608695652</v>
      </c>
      <c r="K71" s="63">
        <v>87.54</v>
      </c>
      <c r="L71" s="61" t="str">
        <f t="shared" si="4"/>
        <v>85-90</v>
      </c>
      <c r="M71" s="63">
        <v>83.08</v>
      </c>
      <c r="N71" s="63">
        <v>83.16</v>
      </c>
      <c r="O71" s="63"/>
      <c r="P71" s="63">
        <v>89.12</v>
      </c>
      <c r="Q71" s="63">
        <v>91.75</v>
      </c>
      <c r="R71" s="63">
        <v>0.0</v>
      </c>
      <c r="S71" s="63">
        <v>92.69</v>
      </c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5"/>
      <c r="AM71" s="56"/>
      <c r="AN71" s="65"/>
      <c r="AO71" s="55"/>
      <c r="AP71" s="56"/>
      <c r="AQ71" s="55"/>
      <c r="AR71" s="55"/>
    </row>
    <row r="72">
      <c r="A72" s="59" t="s">
        <v>54</v>
      </c>
      <c r="B72" s="59"/>
      <c r="C72" s="59">
        <v>22097.0</v>
      </c>
      <c r="D72" s="60" t="s">
        <v>189</v>
      </c>
      <c r="E72" s="61">
        <v>25.0</v>
      </c>
      <c r="F72" s="61">
        <v>4060.0</v>
      </c>
      <c r="G72" s="61">
        <v>3719.0</v>
      </c>
      <c r="H72" s="62">
        <v>0.14862268518518518</v>
      </c>
      <c r="I72" s="61">
        <v>115.0</v>
      </c>
      <c r="J72" s="63">
        <f t="shared" si="3"/>
        <v>4.6</v>
      </c>
      <c r="K72" s="63">
        <v>87.55</v>
      </c>
      <c r="L72" s="61" t="str">
        <f t="shared" si="4"/>
        <v>85-90</v>
      </c>
      <c r="M72" s="63">
        <v>83.36</v>
      </c>
      <c r="N72" s="63">
        <v>82.39</v>
      </c>
      <c r="O72" s="63"/>
      <c r="P72" s="63">
        <v>89.46</v>
      </c>
      <c r="Q72" s="63">
        <v>90.94</v>
      </c>
      <c r="R72" s="63">
        <v>0.0</v>
      </c>
      <c r="S72" s="63">
        <v>92.26</v>
      </c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5"/>
      <c r="AM72" s="56"/>
      <c r="AN72" s="65"/>
      <c r="AO72" s="55"/>
      <c r="AP72" s="56"/>
      <c r="AQ72" s="55"/>
      <c r="AR72" s="55"/>
    </row>
    <row r="73">
      <c r="A73" s="59" t="s">
        <v>54</v>
      </c>
      <c r="B73" s="59"/>
      <c r="C73" s="59" t="s">
        <v>190</v>
      </c>
      <c r="D73" s="60" t="s">
        <v>191</v>
      </c>
      <c r="E73" s="61">
        <v>26.0</v>
      </c>
      <c r="F73" s="61">
        <v>4381.0</v>
      </c>
      <c r="G73" s="61">
        <v>4098.0</v>
      </c>
      <c r="H73" s="62">
        <v>0.11753472222222222</v>
      </c>
      <c r="I73" s="61">
        <v>70.0</v>
      </c>
      <c r="J73" s="63">
        <f t="shared" si="3"/>
        <v>2.692307692</v>
      </c>
      <c r="K73" s="63">
        <v>87.66</v>
      </c>
      <c r="L73" s="61" t="str">
        <f t="shared" si="4"/>
        <v>85-90</v>
      </c>
      <c r="M73" s="63">
        <v>82.7</v>
      </c>
      <c r="N73" s="63">
        <v>81.83</v>
      </c>
      <c r="O73" s="63"/>
      <c r="P73" s="63">
        <v>90.08</v>
      </c>
      <c r="Q73" s="63">
        <v>93.02</v>
      </c>
      <c r="R73" s="63">
        <v>28.33</v>
      </c>
      <c r="S73" s="63">
        <v>93.14</v>
      </c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5"/>
      <c r="AM73" s="56"/>
      <c r="AN73" s="65"/>
      <c r="AO73" s="55"/>
      <c r="AP73" s="56"/>
      <c r="AQ73" s="55"/>
      <c r="AR73" s="55"/>
    </row>
    <row r="74">
      <c r="A74" s="59" t="s">
        <v>54</v>
      </c>
      <c r="B74" s="59"/>
      <c r="C74" s="59" t="s">
        <v>192</v>
      </c>
      <c r="D74" s="60" t="s">
        <v>193</v>
      </c>
      <c r="E74" s="61">
        <v>26.0</v>
      </c>
      <c r="F74" s="61">
        <v>3305.0</v>
      </c>
      <c r="G74" s="61">
        <v>3070.0</v>
      </c>
      <c r="H74" s="62">
        <v>0.15819444444444444</v>
      </c>
      <c r="I74" s="61">
        <v>198.0</v>
      </c>
      <c r="J74" s="63">
        <f t="shared" si="3"/>
        <v>7.615384615</v>
      </c>
      <c r="K74" s="63">
        <v>87.7</v>
      </c>
      <c r="L74" s="61" t="str">
        <f t="shared" si="4"/>
        <v>85-90</v>
      </c>
      <c r="M74" s="63"/>
      <c r="N74" s="63"/>
      <c r="O74" s="63"/>
      <c r="P74" s="63"/>
      <c r="Q74" s="63"/>
      <c r="R74" s="63"/>
      <c r="S74" s="63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5"/>
      <c r="AM74" s="56"/>
      <c r="AN74" s="65"/>
      <c r="AO74" s="55"/>
      <c r="AP74" s="56"/>
      <c r="AQ74" s="55"/>
      <c r="AR74" s="55"/>
    </row>
    <row r="75">
      <c r="A75" s="59" t="s">
        <v>54</v>
      </c>
      <c r="B75" s="59"/>
      <c r="C75" s="59" t="s">
        <v>194</v>
      </c>
      <c r="D75" s="60" t="s">
        <v>195</v>
      </c>
      <c r="E75" s="61">
        <v>17.0</v>
      </c>
      <c r="F75" s="61">
        <v>3280.0</v>
      </c>
      <c r="G75" s="61">
        <v>3050.0</v>
      </c>
      <c r="H75" s="62">
        <v>0.14002314814814815</v>
      </c>
      <c r="I75" s="61">
        <v>83.0</v>
      </c>
      <c r="J75" s="63">
        <f t="shared" si="3"/>
        <v>4.882352941</v>
      </c>
      <c r="K75" s="63">
        <v>87.85</v>
      </c>
      <c r="L75" s="61" t="str">
        <f t="shared" si="4"/>
        <v>85-90</v>
      </c>
      <c r="M75" s="63">
        <v>82.97</v>
      </c>
      <c r="N75" s="63">
        <v>83.65</v>
      </c>
      <c r="O75" s="63"/>
      <c r="P75" s="63">
        <v>88.92</v>
      </c>
      <c r="Q75" s="63">
        <v>91.88</v>
      </c>
      <c r="R75" s="63">
        <v>15.56</v>
      </c>
      <c r="S75" s="63">
        <v>92.3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5"/>
      <c r="AM75" s="56"/>
      <c r="AN75" s="65"/>
      <c r="AO75" s="55"/>
      <c r="AP75" s="56"/>
      <c r="AQ75" s="55"/>
      <c r="AR75" s="55"/>
    </row>
    <row r="76">
      <c r="A76" s="59" t="s">
        <v>54</v>
      </c>
      <c r="B76" s="59"/>
      <c r="C76" s="59">
        <v>22375.0</v>
      </c>
      <c r="D76" s="60" t="s">
        <v>196</v>
      </c>
      <c r="E76" s="61">
        <v>28.0</v>
      </c>
      <c r="F76" s="61">
        <v>4217.0</v>
      </c>
      <c r="G76" s="61">
        <v>3872.0</v>
      </c>
      <c r="H76" s="62">
        <v>0.15908564814814816</v>
      </c>
      <c r="I76" s="61">
        <v>202.0</v>
      </c>
      <c r="J76" s="63">
        <f t="shared" si="3"/>
        <v>7.214285714</v>
      </c>
      <c r="K76" s="63">
        <v>87.96</v>
      </c>
      <c r="L76" s="61" t="str">
        <f t="shared" si="4"/>
        <v>85-90</v>
      </c>
      <c r="M76" s="63">
        <v>81.8</v>
      </c>
      <c r="N76" s="63">
        <v>84.23</v>
      </c>
      <c r="O76" s="63"/>
      <c r="P76" s="63">
        <v>89.86</v>
      </c>
      <c r="Q76" s="63">
        <v>91.43</v>
      </c>
      <c r="R76" s="63">
        <v>18.75</v>
      </c>
      <c r="S76" s="63">
        <v>92.6</v>
      </c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5"/>
      <c r="AM76" s="56"/>
      <c r="AN76" s="65"/>
      <c r="AO76" s="55"/>
      <c r="AP76" s="56"/>
      <c r="AQ76" s="55"/>
      <c r="AR76" s="55"/>
    </row>
    <row r="77">
      <c r="A77" s="59" t="s">
        <v>54</v>
      </c>
      <c r="B77" s="59"/>
      <c r="C77" s="59" t="s">
        <v>197</v>
      </c>
      <c r="D77" s="60" t="s">
        <v>198</v>
      </c>
      <c r="E77" s="61">
        <v>24.0</v>
      </c>
      <c r="F77" s="61">
        <v>4003.0</v>
      </c>
      <c r="G77" s="61">
        <v>3763.0</v>
      </c>
      <c r="H77" s="62">
        <v>0.11170138888888889</v>
      </c>
      <c r="I77" s="61">
        <v>73.0</v>
      </c>
      <c r="J77" s="63">
        <f t="shared" si="3"/>
        <v>3.041666667</v>
      </c>
      <c r="K77" s="63">
        <v>88.1</v>
      </c>
      <c r="L77" s="61" t="str">
        <f t="shared" si="4"/>
        <v>85-90</v>
      </c>
      <c r="M77" s="63">
        <v>83.69</v>
      </c>
      <c r="N77" s="63">
        <v>83.57</v>
      </c>
      <c r="O77" s="63"/>
      <c r="P77" s="63">
        <v>89.85</v>
      </c>
      <c r="Q77" s="63">
        <v>91.78</v>
      </c>
      <c r="R77" s="63">
        <v>22.22</v>
      </c>
      <c r="S77" s="63">
        <v>92.78</v>
      </c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5"/>
      <c r="AM77" s="56"/>
      <c r="AN77" s="65"/>
      <c r="AO77" s="55"/>
      <c r="AP77" s="56"/>
      <c r="AQ77" s="55"/>
      <c r="AR77" s="55"/>
    </row>
    <row r="78">
      <c r="A78" s="59" t="s">
        <v>54</v>
      </c>
      <c r="B78" s="59"/>
      <c r="C78" s="59">
        <v>22480.0</v>
      </c>
      <c r="D78" s="60" t="s">
        <v>199</v>
      </c>
      <c r="E78" s="61">
        <v>26.0</v>
      </c>
      <c r="F78" s="61">
        <v>3733.0</v>
      </c>
      <c r="G78" s="61">
        <v>3464.0</v>
      </c>
      <c r="H78" s="62">
        <v>0.14608796296296298</v>
      </c>
      <c r="I78" s="61">
        <v>85.0</v>
      </c>
      <c r="J78" s="63">
        <f t="shared" si="3"/>
        <v>3.269230769</v>
      </c>
      <c r="K78" s="63">
        <v>88.14</v>
      </c>
      <c r="L78" s="61" t="str">
        <f t="shared" si="4"/>
        <v>85-90</v>
      </c>
      <c r="M78" s="63">
        <v>84.14</v>
      </c>
      <c r="N78" s="63">
        <v>82.58</v>
      </c>
      <c r="O78" s="63"/>
      <c r="P78" s="63">
        <v>89.43</v>
      </c>
      <c r="Q78" s="63">
        <v>92.38</v>
      </c>
      <c r="R78" s="63">
        <v>20.0</v>
      </c>
      <c r="S78" s="63">
        <v>92.76</v>
      </c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5"/>
      <c r="AM78" s="56"/>
      <c r="AN78" s="65"/>
      <c r="AO78" s="55"/>
      <c r="AP78" s="56"/>
      <c r="AQ78" s="55"/>
      <c r="AR78" s="55"/>
    </row>
    <row r="79">
      <c r="A79" s="59" t="s">
        <v>54</v>
      </c>
      <c r="B79" s="59"/>
      <c r="C79" s="59">
        <v>22420.0</v>
      </c>
      <c r="D79" s="60" t="s">
        <v>200</v>
      </c>
      <c r="E79" s="61">
        <v>25.0</v>
      </c>
      <c r="F79" s="61">
        <v>4572.0</v>
      </c>
      <c r="G79" s="61">
        <v>4261.0</v>
      </c>
      <c r="H79" s="62">
        <v>0.16640046296296296</v>
      </c>
      <c r="I79" s="61">
        <v>103.0</v>
      </c>
      <c r="J79" s="63">
        <f t="shared" si="3"/>
        <v>4.12</v>
      </c>
      <c r="K79" s="63">
        <v>88.17</v>
      </c>
      <c r="L79" s="61" t="str">
        <f t="shared" si="4"/>
        <v>85-90</v>
      </c>
      <c r="M79" s="63">
        <v>84.68</v>
      </c>
      <c r="N79" s="63">
        <v>84.26</v>
      </c>
      <c r="O79" s="63"/>
      <c r="P79" s="63">
        <v>88.88</v>
      </c>
      <c r="Q79" s="63">
        <v>90.91</v>
      </c>
      <c r="R79" s="63">
        <v>0.0</v>
      </c>
      <c r="S79" s="63">
        <v>92.37</v>
      </c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5"/>
      <c r="AM79" s="56"/>
      <c r="AN79" s="65"/>
      <c r="AO79" s="55"/>
      <c r="AP79" s="56"/>
      <c r="AQ79" s="55"/>
      <c r="AR79" s="55"/>
    </row>
    <row r="80">
      <c r="A80" s="59" t="s">
        <v>54</v>
      </c>
      <c r="B80" s="59"/>
      <c r="C80" s="59" t="s">
        <v>201</v>
      </c>
      <c r="D80" s="60" t="s">
        <v>202</v>
      </c>
      <c r="E80" s="61">
        <v>26.0</v>
      </c>
      <c r="F80" s="61">
        <v>2710.0</v>
      </c>
      <c r="G80" s="61">
        <v>2534.0</v>
      </c>
      <c r="H80" s="62">
        <v>0.1450810185185185</v>
      </c>
      <c r="I80" s="61">
        <v>168.0</v>
      </c>
      <c r="J80" s="63">
        <f t="shared" si="3"/>
        <v>6.461538462</v>
      </c>
      <c r="K80" s="63">
        <v>88.19</v>
      </c>
      <c r="L80" s="61" t="str">
        <f t="shared" si="4"/>
        <v>85-90</v>
      </c>
      <c r="M80" s="63">
        <v>82.11</v>
      </c>
      <c r="N80" s="63">
        <v>82.53</v>
      </c>
      <c r="O80" s="63"/>
      <c r="P80" s="63">
        <v>90.41</v>
      </c>
      <c r="Q80" s="63">
        <v>92.02</v>
      </c>
      <c r="R80" s="63">
        <v>5.0</v>
      </c>
      <c r="S80" s="63">
        <v>93.32</v>
      </c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5"/>
      <c r="AM80" s="56"/>
      <c r="AN80" s="65"/>
      <c r="AO80" s="55"/>
      <c r="AP80" s="56"/>
      <c r="AQ80" s="55"/>
      <c r="AR80" s="55"/>
    </row>
    <row r="81">
      <c r="A81" s="59" t="s">
        <v>54</v>
      </c>
      <c r="B81" s="59"/>
      <c r="C81" s="59">
        <v>22396.0</v>
      </c>
      <c r="D81" s="60" t="s">
        <v>203</v>
      </c>
      <c r="E81" s="61">
        <v>6.0</v>
      </c>
      <c r="F81" s="61">
        <v>788.0</v>
      </c>
      <c r="G81" s="61">
        <v>738.0</v>
      </c>
      <c r="H81" s="66">
        <v>0.15207175925925925</v>
      </c>
      <c r="I81" s="61">
        <v>21.0</v>
      </c>
      <c r="J81" s="63">
        <f t="shared" si="3"/>
        <v>3.5</v>
      </c>
      <c r="K81" s="63">
        <v>88.32</v>
      </c>
      <c r="L81" s="61" t="str">
        <f t="shared" si="4"/>
        <v>85-90</v>
      </c>
      <c r="M81" s="63">
        <v>83.3</v>
      </c>
      <c r="N81" s="63">
        <v>85.47</v>
      </c>
      <c r="O81" s="63"/>
      <c r="P81" s="63">
        <v>89.36</v>
      </c>
      <c r="Q81" s="63">
        <v>91.83</v>
      </c>
      <c r="R81" s="63">
        <v>33.33</v>
      </c>
      <c r="S81" s="63">
        <v>92.0</v>
      </c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5"/>
      <c r="AM81" s="56"/>
      <c r="AN81" s="65"/>
      <c r="AO81" s="55"/>
      <c r="AP81" s="56"/>
      <c r="AQ81" s="55"/>
      <c r="AR81" s="55"/>
    </row>
    <row r="82">
      <c r="A82" s="59" t="s">
        <v>54</v>
      </c>
      <c r="B82" s="59"/>
      <c r="C82" s="59">
        <v>22410.0</v>
      </c>
      <c r="D82" s="60" t="s">
        <v>204</v>
      </c>
      <c r="E82" s="61">
        <v>26.0</v>
      </c>
      <c r="F82" s="61">
        <v>4425.0</v>
      </c>
      <c r="G82" s="61">
        <v>3910.0</v>
      </c>
      <c r="H82" s="62">
        <v>0.16693287037037038</v>
      </c>
      <c r="I82" s="61">
        <v>157.0</v>
      </c>
      <c r="J82" s="63">
        <f t="shared" si="3"/>
        <v>6.038461538</v>
      </c>
      <c r="K82" s="63">
        <v>88.35</v>
      </c>
      <c r="L82" s="61" t="str">
        <f t="shared" si="4"/>
        <v>85-90</v>
      </c>
      <c r="M82" s="63">
        <v>81.11</v>
      </c>
      <c r="N82" s="63">
        <v>84.29</v>
      </c>
      <c r="O82" s="63"/>
      <c r="P82" s="63">
        <v>90.6</v>
      </c>
      <c r="Q82" s="63">
        <v>92.8</v>
      </c>
      <c r="R82" s="63">
        <v>22.73</v>
      </c>
      <c r="S82" s="63">
        <v>93.04</v>
      </c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5"/>
      <c r="AM82" s="56"/>
      <c r="AN82" s="65"/>
      <c r="AO82" s="55"/>
      <c r="AP82" s="56"/>
      <c r="AQ82" s="55"/>
      <c r="AR82" s="55"/>
    </row>
    <row r="83">
      <c r="A83" s="59" t="s">
        <v>54</v>
      </c>
      <c r="B83" s="59"/>
      <c r="C83" s="59">
        <v>22084.0</v>
      </c>
      <c r="D83" s="60" t="s">
        <v>205</v>
      </c>
      <c r="E83" s="61">
        <v>27.0</v>
      </c>
      <c r="F83" s="61">
        <v>3856.0</v>
      </c>
      <c r="G83" s="61">
        <v>3624.0</v>
      </c>
      <c r="H83" s="62">
        <v>0.18806712962962963</v>
      </c>
      <c r="I83" s="61">
        <v>132.0</v>
      </c>
      <c r="J83" s="63">
        <f t="shared" si="3"/>
        <v>4.888888889</v>
      </c>
      <c r="K83" s="63">
        <v>88.35</v>
      </c>
      <c r="L83" s="61" t="str">
        <f t="shared" si="4"/>
        <v>85-90</v>
      </c>
      <c r="M83" s="63">
        <v>85.51</v>
      </c>
      <c r="N83" s="63">
        <v>83.06</v>
      </c>
      <c r="O83" s="63"/>
      <c r="P83" s="63">
        <v>89.07</v>
      </c>
      <c r="Q83" s="63">
        <v>90.87</v>
      </c>
      <c r="R83" s="63">
        <v>15.0</v>
      </c>
      <c r="S83" s="63">
        <v>91.81</v>
      </c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5"/>
      <c r="AM83" s="56"/>
      <c r="AN83" s="65"/>
      <c r="AO83" s="55"/>
      <c r="AP83" s="56"/>
      <c r="AQ83" s="55"/>
      <c r="AR83" s="55"/>
    </row>
    <row r="84">
      <c r="A84" s="59" t="s">
        <v>54</v>
      </c>
      <c r="B84" s="59"/>
      <c r="C84" s="59">
        <v>60288.0</v>
      </c>
      <c r="D84" s="60" t="s">
        <v>206</v>
      </c>
      <c r="E84" s="61">
        <v>26.0</v>
      </c>
      <c r="F84" s="61">
        <v>3280.0</v>
      </c>
      <c r="G84" s="61">
        <v>3058.0</v>
      </c>
      <c r="H84" s="62">
        <v>0.16746527777777778</v>
      </c>
      <c r="I84" s="61">
        <v>218.0</v>
      </c>
      <c r="J84" s="63">
        <f t="shared" si="3"/>
        <v>8.384615385</v>
      </c>
      <c r="K84" s="63">
        <v>88.36</v>
      </c>
      <c r="L84" s="61" t="str">
        <f t="shared" si="4"/>
        <v>85-90</v>
      </c>
      <c r="M84" s="63">
        <v>84.61</v>
      </c>
      <c r="N84" s="63">
        <v>83.47</v>
      </c>
      <c r="O84" s="63"/>
      <c r="P84" s="63">
        <v>90.14</v>
      </c>
      <c r="Q84" s="63">
        <v>91.49</v>
      </c>
      <c r="R84" s="63">
        <v>0.0</v>
      </c>
      <c r="S84" s="63">
        <v>92.77</v>
      </c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5"/>
      <c r="AM84" s="56"/>
      <c r="AN84" s="65"/>
      <c r="AO84" s="55"/>
      <c r="AP84" s="56"/>
      <c r="AQ84" s="55"/>
      <c r="AR84" s="55"/>
    </row>
    <row r="85">
      <c r="A85" s="59" t="s">
        <v>54</v>
      </c>
      <c r="B85" s="59"/>
      <c r="C85" s="59">
        <v>21523.0</v>
      </c>
      <c r="D85" s="60" t="s">
        <v>207</v>
      </c>
      <c r="E85" s="61">
        <v>29.0</v>
      </c>
      <c r="F85" s="61">
        <v>3385.0</v>
      </c>
      <c r="G85" s="61">
        <v>3086.0</v>
      </c>
      <c r="H85" s="62">
        <v>0.1541435185185185</v>
      </c>
      <c r="I85" s="61">
        <v>232.0</v>
      </c>
      <c r="J85" s="63">
        <f t="shared" si="3"/>
        <v>8</v>
      </c>
      <c r="K85" s="63">
        <v>88.39</v>
      </c>
      <c r="L85" s="61" t="str">
        <f t="shared" si="4"/>
        <v>85-90</v>
      </c>
      <c r="M85" s="63">
        <v>83.26</v>
      </c>
      <c r="N85" s="63">
        <v>84.62</v>
      </c>
      <c r="O85" s="63"/>
      <c r="P85" s="63">
        <v>89.77</v>
      </c>
      <c r="Q85" s="63">
        <v>91.56</v>
      </c>
      <c r="R85" s="63">
        <v>25.0</v>
      </c>
      <c r="S85" s="63">
        <v>92.52</v>
      </c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5"/>
      <c r="AM85" s="56"/>
      <c r="AN85" s="65"/>
      <c r="AO85" s="55"/>
      <c r="AP85" s="56"/>
      <c r="AQ85" s="55"/>
      <c r="AR85" s="55"/>
    </row>
    <row r="86">
      <c r="A86" s="59" t="s">
        <v>54</v>
      </c>
      <c r="B86" s="59"/>
      <c r="C86" s="59">
        <v>22152.0</v>
      </c>
      <c r="D86" s="60" t="s">
        <v>208</v>
      </c>
      <c r="E86" s="61">
        <v>10.0</v>
      </c>
      <c r="F86" s="61">
        <v>1487.0</v>
      </c>
      <c r="G86" s="61">
        <v>1403.0</v>
      </c>
      <c r="H86" s="66">
        <v>0.1241087962962963</v>
      </c>
      <c r="I86" s="61">
        <v>101.0</v>
      </c>
      <c r="J86" s="63">
        <f t="shared" si="3"/>
        <v>10.1</v>
      </c>
      <c r="K86" s="63">
        <v>88.4</v>
      </c>
      <c r="L86" s="61" t="str">
        <f t="shared" si="4"/>
        <v>85-90</v>
      </c>
      <c r="M86" s="63">
        <v>88.46</v>
      </c>
      <c r="N86" s="63">
        <v>88.03</v>
      </c>
      <c r="O86" s="63"/>
      <c r="P86" s="63">
        <v>92.46</v>
      </c>
      <c r="Q86" s="63">
        <v>91.2</v>
      </c>
      <c r="R86" s="63"/>
      <c r="S86" s="63">
        <v>92.69</v>
      </c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5"/>
      <c r="AM86" s="56"/>
      <c r="AN86" s="65"/>
      <c r="AO86" s="55"/>
      <c r="AP86" s="56"/>
      <c r="AQ86" s="55"/>
      <c r="AR86" s="55"/>
    </row>
    <row r="87">
      <c r="A87" s="59" t="s">
        <v>54</v>
      </c>
      <c r="B87" s="59"/>
      <c r="C87" s="59">
        <v>20289.0</v>
      </c>
      <c r="D87" s="60" t="s">
        <v>209</v>
      </c>
      <c r="E87" s="61">
        <v>19.0</v>
      </c>
      <c r="F87" s="61">
        <v>3424.0</v>
      </c>
      <c r="G87" s="61">
        <v>3097.0</v>
      </c>
      <c r="H87" s="62">
        <v>0.16368055555555555</v>
      </c>
      <c r="I87" s="61">
        <v>114.0</v>
      </c>
      <c r="J87" s="63">
        <f t="shared" si="3"/>
        <v>6</v>
      </c>
      <c r="K87" s="63">
        <v>88.42</v>
      </c>
      <c r="L87" s="61" t="str">
        <f t="shared" si="4"/>
        <v>85-90</v>
      </c>
      <c r="M87" s="63">
        <v>83.35</v>
      </c>
      <c r="N87" s="63">
        <v>87.98</v>
      </c>
      <c r="O87" s="63"/>
      <c r="P87" s="63">
        <v>89.22</v>
      </c>
      <c r="Q87" s="63">
        <v>91.28</v>
      </c>
      <c r="R87" s="63">
        <v>0.0</v>
      </c>
      <c r="S87" s="63">
        <v>92.49</v>
      </c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5"/>
      <c r="AM87" s="56"/>
      <c r="AN87" s="65"/>
      <c r="AO87" s="55"/>
      <c r="AP87" s="56"/>
      <c r="AQ87" s="55"/>
      <c r="AR87" s="55"/>
    </row>
    <row r="88">
      <c r="A88" s="59" t="s">
        <v>54</v>
      </c>
      <c r="B88" s="59"/>
      <c r="C88" s="59" t="s">
        <v>210</v>
      </c>
      <c r="D88" s="60" t="s">
        <v>211</v>
      </c>
      <c r="E88" s="61">
        <v>23.0</v>
      </c>
      <c r="F88" s="61">
        <v>3467.0</v>
      </c>
      <c r="G88" s="61">
        <v>3081.0</v>
      </c>
      <c r="H88" s="62">
        <v>0.16815972222222222</v>
      </c>
      <c r="I88" s="61">
        <v>114.0</v>
      </c>
      <c r="J88" s="63">
        <f t="shared" si="3"/>
        <v>4.956521739</v>
      </c>
      <c r="K88" s="63">
        <v>88.46</v>
      </c>
      <c r="L88" s="61" t="str">
        <f t="shared" si="4"/>
        <v>85-90</v>
      </c>
      <c r="M88" s="63">
        <v>83.3</v>
      </c>
      <c r="N88" s="63">
        <v>82.09</v>
      </c>
      <c r="O88" s="63"/>
      <c r="P88" s="63">
        <v>90.11</v>
      </c>
      <c r="Q88" s="63">
        <v>92.91</v>
      </c>
      <c r="R88" s="63">
        <v>33.33</v>
      </c>
      <c r="S88" s="63">
        <v>93.58</v>
      </c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5"/>
      <c r="AM88" s="56"/>
      <c r="AN88" s="65"/>
      <c r="AO88" s="55"/>
      <c r="AP88" s="56"/>
      <c r="AQ88" s="55"/>
      <c r="AR88" s="55"/>
    </row>
    <row r="89">
      <c r="A89" s="59" t="s">
        <v>54</v>
      </c>
      <c r="B89" s="59"/>
      <c r="C89" s="59" t="s">
        <v>212</v>
      </c>
      <c r="D89" s="60" t="s">
        <v>213</v>
      </c>
      <c r="E89" s="61">
        <v>25.0</v>
      </c>
      <c r="F89" s="61">
        <v>4157.0</v>
      </c>
      <c r="G89" s="61">
        <v>3939.0</v>
      </c>
      <c r="H89" s="62">
        <v>0.10451388888888889</v>
      </c>
      <c r="I89" s="61">
        <v>68.0</v>
      </c>
      <c r="J89" s="63">
        <f t="shared" si="3"/>
        <v>2.72</v>
      </c>
      <c r="K89" s="63">
        <v>88.49</v>
      </c>
      <c r="L89" s="61" t="str">
        <f t="shared" si="4"/>
        <v>85-90</v>
      </c>
      <c r="M89" s="63">
        <v>84.12</v>
      </c>
      <c r="N89" s="63">
        <v>81.12</v>
      </c>
      <c r="O89" s="63"/>
      <c r="P89" s="63">
        <v>91.02</v>
      </c>
      <c r="Q89" s="63">
        <v>92.92</v>
      </c>
      <c r="R89" s="63">
        <v>13.85</v>
      </c>
      <c r="S89" s="63">
        <v>93.77</v>
      </c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5"/>
      <c r="AM89" s="56"/>
      <c r="AN89" s="65"/>
      <c r="AO89" s="55"/>
      <c r="AP89" s="56"/>
      <c r="AQ89" s="55"/>
      <c r="AR89" s="55"/>
    </row>
    <row r="90">
      <c r="A90" s="59" t="s">
        <v>54</v>
      </c>
      <c r="B90" s="59"/>
      <c r="C90" s="59">
        <v>21245.0</v>
      </c>
      <c r="D90" s="60" t="s">
        <v>214</v>
      </c>
      <c r="E90" s="61">
        <v>6.0</v>
      </c>
      <c r="F90" s="61">
        <v>1097.0</v>
      </c>
      <c r="G90" s="61">
        <v>1026.0</v>
      </c>
      <c r="H90" s="66">
        <v>0.11733796296296296</v>
      </c>
      <c r="I90" s="61">
        <v>41.0</v>
      </c>
      <c r="J90" s="63">
        <f t="shared" si="3"/>
        <v>6.833333333</v>
      </c>
      <c r="K90" s="63">
        <v>88.58</v>
      </c>
      <c r="L90" s="61" t="str">
        <f t="shared" si="4"/>
        <v>85-90</v>
      </c>
      <c r="M90" s="63">
        <v>87.06</v>
      </c>
      <c r="N90" s="63">
        <v>83.44</v>
      </c>
      <c r="O90" s="63"/>
      <c r="P90" s="63">
        <v>88.67</v>
      </c>
      <c r="Q90" s="63">
        <v>92.9</v>
      </c>
      <c r="R90" s="63">
        <v>25.0</v>
      </c>
      <c r="S90" s="63">
        <v>91.47</v>
      </c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5"/>
      <c r="AM90" s="56"/>
      <c r="AN90" s="65"/>
      <c r="AO90" s="55"/>
      <c r="AP90" s="56"/>
      <c r="AQ90" s="55"/>
      <c r="AR90" s="55"/>
    </row>
    <row r="91">
      <c r="A91" s="59" t="s">
        <v>54</v>
      </c>
      <c r="B91" s="59"/>
      <c r="C91" s="59">
        <v>22376.0</v>
      </c>
      <c r="D91" s="60" t="s">
        <v>215</v>
      </c>
      <c r="E91" s="61">
        <v>26.0</v>
      </c>
      <c r="F91" s="61">
        <v>3631.0</v>
      </c>
      <c r="G91" s="61">
        <v>3346.0</v>
      </c>
      <c r="H91" s="62">
        <v>0.15890046296296295</v>
      </c>
      <c r="I91" s="61">
        <v>191.0</v>
      </c>
      <c r="J91" s="63">
        <f t="shared" si="3"/>
        <v>7.346153846</v>
      </c>
      <c r="K91" s="63">
        <v>88.59</v>
      </c>
      <c r="L91" s="61" t="str">
        <f t="shared" si="4"/>
        <v>85-90</v>
      </c>
      <c r="M91" s="63">
        <v>84.14</v>
      </c>
      <c r="N91" s="63">
        <v>85.27</v>
      </c>
      <c r="O91" s="63"/>
      <c r="P91" s="63">
        <v>89.45</v>
      </c>
      <c r="Q91" s="63">
        <v>91.1</v>
      </c>
      <c r="R91" s="63">
        <v>25.0</v>
      </c>
      <c r="S91" s="63">
        <v>92.75</v>
      </c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5"/>
      <c r="AM91" s="56"/>
      <c r="AN91" s="65"/>
      <c r="AO91" s="55"/>
      <c r="AP91" s="56"/>
      <c r="AQ91" s="55"/>
      <c r="AR91" s="55"/>
    </row>
    <row r="92">
      <c r="A92" s="59" t="s">
        <v>54</v>
      </c>
      <c r="B92" s="59"/>
      <c r="C92" s="59" t="s">
        <v>216</v>
      </c>
      <c r="D92" s="60" t="s">
        <v>217</v>
      </c>
      <c r="E92" s="61">
        <v>25.0</v>
      </c>
      <c r="F92" s="61">
        <v>3796.0</v>
      </c>
      <c r="G92" s="61">
        <v>3557.0</v>
      </c>
      <c r="H92" s="62">
        <v>0.1277662037037037</v>
      </c>
      <c r="I92" s="61">
        <v>63.0</v>
      </c>
      <c r="J92" s="63">
        <f t="shared" si="3"/>
        <v>2.52</v>
      </c>
      <c r="K92" s="63">
        <v>88.6</v>
      </c>
      <c r="L92" s="61" t="str">
        <f t="shared" si="4"/>
        <v>85-90</v>
      </c>
      <c r="M92" s="63">
        <v>84.15</v>
      </c>
      <c r="N92" s="63">
        <v>84.04</v>
      </c>
      <c r="O92" s="63"/>
      <c r="P92" s="63">
        <v>89.64</v>
      </c>
      <c r="Q92" s="63">
        <v>92.25</v>
      </c>
      <c r="R92" s="63">
        <v>22.22</v>
      </c>
      <c r="S92" s="63">
        <v>92.77</v>
      </c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5"/>
      <c r="AM92" s="56"/>
      <c r="AN92" s="65"/>
      <c r="AO92" s="55"/>
      <c r="AP92" s="56"/>
      <c r="AQ92" s="55"/>
      <c r="AR92" s="55"/>
    </row>
    <row r="93">
      <c r="A93" s="59" t="s">
        <v>54</v>
      </c>
      <c r="B93" s="59"/>
      <c r="C93" s="59" t="s">
        <v>218</v>
      </c>
      <c r="D93" s="60" t="s">
        <v>219</v>
      </c>
      <c r="E93" s="61">
        <v>26.0</v>
      </c>
      <c r="F93" s="61">
        <v>3980.0</v>
      </c>
      <c r="G93" s="61">
        <v>3750.0</v>
      </c>
      <c r="H93" s="62">
        <v>0.10333333333333333</v>
      </c>
      <c r="I93" s="61">
        <v>49.0</v>
      </c>
      <c r="J93" s="63">
        <f t="shared" si="3"/>
        <v>1.884615385</v>
      </c>
      <c r="K93" s="63">
        <v>88.6</v>
      </c>
      <c r="L93" s="61" t="str">
        <f t="shared" si="4"/>
        <v>85-90</v>
      </c>
      <c r="M93" s="63">
        <v>84.35</v>
      </c>
      <c r="N93" s="63">
        <v>87.58</v>
      </c>
      <c r="O93" s="63"/>
      <c r="P93" s="63">
        <v>89.03</v>
      </c>
      <c r="Q93" s="63">
        <v>90.84</v>
      </c>
      <c r="R93" s="63">
        <v>10.0</v>
      </c>
      <c r="S93" s="63">
        <v>92.31</v>
      </c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5"/>
      <c r="AM93" s="56"/>
      <c r="AN93" s="65"/>
      <c r="AO93" s="55"/>
      <c r="AP93" s="56"/>
      <c r="AQ93" s="55"/>
      <c r="AR93" s="55"/>
    </row>
    <row r="94">
      <c r="A94" s="59" t="s">
        <v>54</v>
      </c>
      <c r="B94" s="59"/>
      <c r="C94" s="59" t="s">
        <v>220</v>
      </c>
      <c r="D94" s="60" t="s">
        <v>221</v>
      </c>
      <c r="E94" s="61">
        <v>25.0</v>
      </c>
      <c r="F94" s="61">
        <v>3987.0</v>
      </c>
      <c r="G94" s="61">
        <v>3759.0</v>
      </c>
      <c r="H94" s="62">
        <v>0.1416087962962963</v>
      </c>
      <c r="I94" s="61">
        <v>103.0</v>
      </c>
      <c r="J94" s="63">
        <f t="shared" si="3"/>
        <v>4.12</v>
      </c>
      <c r="K94" s="63">
        <v>88.7</v>
      </c>
      <c r="L94" s="61" t="str">
        <f t="shared" si="4"/>
        <v>85-90</v>
      </c>
      <c r="M94" s="63">
        <v>83.85</v>
      </c>
      <c r="N94" s="63">
        <v>85.54</v>
      </c>
      <c r="O94" s="63"/>
      <c r="P94" s="63">
        <v>91.53</v>
      </c>
      <c r="Q94" s="63">
        <v>91.38</v>
      </c>
      <c r="R94" s="63">
        <v>25.0</v>
      </c>
      <c r="S94" s="63">
        <v>93.1</v>
      </c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5"/>
      <c r="AM94" s="56"/>
      <c r="AN94" s="65"/>
      <c r="AO94" s="55"/>
      <c r="AP94" s="56"/>
      <c r="AQ94" s="55"/>
      <c r="AR94" s="55"/>
    </row>
    <row r="95">
      <c r="A95" s="59" t="s">
        <v>54</v>
      </c>
      <c r="B95" s="59"/>
      <c r="C95" s="59" t="s">
        <v>222</v>
      </c>
      <c r="D95" s="60" t="s">
        <v>223</v>
      </c>
      <c r="E95" s="61">
        <v>25.0</v>
      </c>
      <c r="F95" s="61">
        <v>3196.0</v>
      </c>
      <c r="G95" s="61">
        <v>3025.0</v>
      </c>
      <c r="H95" s="62">
        <v>0.13975694444444445</v>
      </c>
      <c r="I95" s="61">
        <v>82.0</v>
      </c>
      <c r="J95" s="63">
        <f t="shared" si="3"/>
        <v>3.28</v>
      </c>
      <c r="K95" s="63">
        <v>88.87</v>
      </c>
      <c r="L95" s="61" t="str">
        <f t="shared" si="4"/>
        <v>85-90</v>
      </c>
      <c r="M95" s="63">
        <v>84.95</v>
      </c>
      <c r="N95" s="63">
        <v>84.76</v>
      </c>
      <c r="O95" s="63"/>
      <c r="P95" s="63">
        <v>90.21</v>
      </c>
      <c r="Q95" s="63">
        <v>92.1</v>
      </c>
      <c r="R95" s="63">
        <v>7.14</v>
      </c>
      <c r="S95" s="63">
        <v>93.27</v>
      </c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5"/>
      <c r="AM95" s="56"/>
      <c r="AN95" s="65"/>
      <c r="AO95" s="55"/>
      <c r="AP95" s="56"/>
      <c r="AQ95" s="55"/>
      <c r="AR95" s="55"/>
    </row>
    <row r="96">
      <c r="A96" s="59" t="s">
        <v>54</v>
      </c>
      <c r="B96" s="59"/>
      <c r="C96" s="59">
        <v>22407.0</v>
      </c>
      <c r="D96" s="60" t="s">
        <v>224</v>
      </c>
      <c r="E96" s="61">
        <v>8.0</v>
      </c>
      <c r="F96" s="61">
        <v>1369.0</v>
      </c>
      <c r="G96" s="61">
        <v>1276.0</v>
      </c>
      <c r="H96" s="62">
        <v>0.18405092592592592</v>
      </c>
      <c r="I96" s="61">
        <v>49.0</v>
      </c>
      <c r="J96" s="63">
        <f t="shared" si="3"/>
        <v>6.125</v>
      </c>
      <c r="K96" s="63">
        <v>88.98</v>
      </c>
      <c r="L96" s="61" t="str">
        <f t="shared" si="4"/>
        <v>85-90</v>
      </c>
      <c r="M96" s="63">
        <v>87.36</v>
      </c>
      <c r="N96" s="63">
        <v>79.83</v>
      </c>
      <c r="O96" s="63"/>
      <c r="P96" s="63">
        <v>90.88</v>
      </c>
      <c r="Q96" s="63">
        <v>92.29</v>
      </c>
      <c r="R96" s="63">
        <v>0.0</v>
      </c>
      <c r="S96" s="63">
        <v>93.01</v>
      </c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5"/>
      <c r="AM96" s="56"/>
      <c r="AN96" s="65"/>
      <c r="AO96" s="55"/>
      <c r="AP96" s="56"/>
      <c r="AQ96" s="55"/>
      <c r="AR96" s="55"/>
    </row>
    <row r="97">
      <c r="A97" s="59" t="s">
        <v>54</v>
      </c>
      <c r="B97" s="59"/>
      <c r="C97" s="59">
        <v>22378.0</v>
      </c>
      <c r="D97" s="60" t="s">
        <v>225</v>
      </c>
      <c r="E97" s="61">
        <v>27.0</v>
      </c>
      <c r="F97" s="61">
        <v>4387.0</v>
      </c>
      <c r="G97" s="61">
        <v>3916.0</v>
      </c>
      <c r="H97" s="62">
        <v>0.18520833333333334</v>
      </c>
      <c r="I97" s="61">
        <v>202.0</v>
      </c>
      <c r="J97" s="63">
        <f t="shared" si="3"/>
        <v>7.481481481</v>
      </c>
      <c r="K97" s="63">
        <v>89.0</v>
      </c>
      <c r="L97" s="61" t="str">
        <f t="shared" si="4"/>
        <v>85-90</v>
      </c>
      <c r="M97" s="63">
        <v>86.11</v>
      </c>
      <c r="N97" s="63">
        <v>83.92</v>
      </c>
      <c r="O97" s="63"/>
      <c r="P97" s="63">
        <v>89.95</v>
      </c>
      <c r="Q97" s="63">
        <v>91.88</v>
      </c>
      <c r="R97" s="63">
        <v>15.0</v>
      </c>
      <c r="S97" s="63">
        <v>92.46</v>
      </c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5"/>
      <c r="AM97" s="56"/>
      <c r="AN97" s="65"/>
      <c r="AO97" s="55"/>
      <c r="AP97" s="56"/>
      <c r="AQ97" s="55"/>
      <c r="AR97" s="55"/>
    </row>
    <row r="98">
      <c r="A98" s="59" t="s">
        <v>54</v>
      </c>
      <c r="B98" s="59"/>
      <c r="C98" s="59" t="s">
        <v>226</v>
      </c>
      <c r="D98" s="60" t="s">
        <v>227</v>
      </c>
      <c r="E98" s="61">
        <v>25.0</v>
      </c>
      <c r="F98" s="61">
        <v>3484.0</v>
      </c>
      <c r="G98" s="61">
        <v>3309.0</v>
      </c>
      <c r="H98" s="62">
        <v>0.09811342592592592</v>
      </c>
      <c r="I98" s="61">
        <v>94.0</v>
      </c>
      <c r="J98" s="63">
        <f t="shared" si="3"/>
        <v>3.76</v>
      </c>
      <c r="K98" s="63">
        <v>89.26</v>
      </c>
      <c r="L98" s="61" t="str">
        <f t="shared" si="4"/>
        <v>85-90</v>
      </c>
      <c r="M98" s="63">
        <v>86.31</v>
      </c>
      <c r="N98" s="63">
        <v>82.66</v>
      </c>
      <c r="O98" s="63"/>
      <c r="P98" s="63">
        <v>89.58</v>
      </c>
      <c r="Q98" s="63">
        <v>92.25</v>
      </c>
      <c r="R98" s="63">
        <v>25.0</v>
      </c>
      <c r="S98" s="63">
        <v>92.72</v>
      </c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5"/>
      <c r="AM98" s="56"/>
      <c r="AN98" s="65"/>
      <c r="AO98" s="55"/>
      <c r="AP98" s="56"/>
      <c r="AQ98" s="55"/>
      <c r="AR98" s="55"/>
    </row>
    <row r="99">
      <c r="A99" s="59" t="s">
        <v>54</v>
      </c>
      <c r="B99" s="59"/>
      <c r="C99" s="59" t="s">
        <v>228</v>
      </c>
      <c r="D99" s="60" t="s">
        <v>229</v>
      </c>
      <c r="E99" s="61">
        <v>25.0</v>
      </c>
      <c r="F99" s="61">
        <v>2679.0</v>
      </c>
      <c r="G99" s="61">
        <v>2513.0</v>
      </c>
      <c r="H99" s="62">
        <v>0.12547453703703704</v>
      </c>
      <c r="I99" s="61">
        <v>155.0</v>
      </c>
      <c r="J99" s="63">
        <f t="shared" si="3"/>
        <v>6.2</v>
      </c>
      <c r="K99" s="63">
        <v>89.27</v>
      </c>
      <c r="L99" s="61" t="str">
        <f t="shared" si="4"/>
        <v>85-90</v>
      </c>
      <c r="M99" s="63">
        <v>83.66</v>
      </c>
      <c r="N99" s="63">
        <v>84.14</v>
      </c>
      <c r="O99" s="63"/>
      <c r="P99" s="63">
        <v>91.17</v>
      </c>
      <c r="Q99" s="63">
        <v>93.08</v>
      </c>
      <c r="R99" s="63">
        <v>37.5</v>
      </c>
      <c r="S99" s="63">
        <v>94.31</v>
      </c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5"/>
      <c r="AM99" s="56"/>
      <c r="AN99" s="65"/>
      <c r="AO99" s="55"/>
      <c r="AP99" s="56"/>
      <c r="AQ99" s="55"/>
      <c r="AR99" s="55"/>
    </row>
    <row r="100">
      <c r="A100" s="59" t="s">
        <v>54</v>
      </c>
      <c r="B100" s="59"/>
      <c r="C100" s="59">
        <v>10110.0</v>
      </c>
      <c r="D100" s="60" t="s">
        <v>230</v>
      </c>
      <c r="E100" s="61">
        <v>25.0</v>
      </c>
      <c r="F100" s="61">
        <v>4824.0</v>
      </c>
      <c r="G100" s="61">
        <v>4466.0</v>
      </c>
      <c r="H100" s="62">
        <v>0.15527777777777776</v>
      </c>
      <c r="I100" s="61">
        <v>154.0</v>
      </c>
      <c r="J100" s="63">
        <f t="shared" si="3"/>
        <v>6.16</v>
      </c>
      <c r="K100" s="63">
        <v>89.32</v>
      </c>
      <c r="L100" s="61" t="str">
        <f t="shared" si="4"/>
        <v>85-90</v>
      </c>
      <c r="M100" s="63">
        <v>85.37</v>
      </c>
      <c r="N100" s="63">
        <v>81.45</v>
      </c>
      <c r="O100" s="63"/>
      <c r="P100" s="63">
        <v>91.74</v>
      </c>
      <c r="Q100" s="63">
        <v>92.96</v>
      </c>
      <c r="R100" s="63">
        <v>0.0</v>
      </c>
      <c r="S100" s="63">
        <v>94.31</v>
      </c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5"/>
      <c r="AM100" s="56"/>
      <c r="AN100" s="65"/>
      <c r="AO100" s="55"/>
      <c r="AP100" s="56"/>
      <c r="AQ100" s="55"/>
      <c r="AR100" s="55"/>
    </row>
    <row r="101">
      <c r="A101" s="59" t="s">
        <v>54</v>
      </c>
      <c r="B101" s="59"/>
      <c r="C101" s="59">
        <v>60303.0</v>
      </c>
      <c r="D101" s="60" t="s">
        <v>231</v>
      </c>
      <c r="E101" s="61">
        <v>25.0</v>
      </c>
      <c r="F101" s="61">
        <v>4313.0</v>
      </c>
      <c r="G101" s="61">
        <v>3906.0</v>
      </c>
      <c r="H101" s="62">
        <v>0.17755787037037038</v>
      </c>
      <c r="I101" s="61">
        <v>140.0</v>
      </c>
      <c r="J101" s="63">
        <f t="shared" si="3"/>
        <v>5.6</v>
      </c>
      <c r="K101" s="63">
        <v>89.32</v>
      </c>
      <c r="L101" s="61" t="str">
        <f t="shared" si="4"/>
        <v>85-90</v>
      </c>
      <c r="M101" s="63">
        <v>83.85</v>
      </c>
      <c r="N101" s="63">
        <v>87.15</v>
      </c>
      <c r="O101" s="63"/>
      <c r="P101" s="63">
        <v>90.26</v>
      </c>
      <c r="Q101" s="63">
        <v>92.15</v>
      </c>
      <c r="R101" s="63">
        <v>33.33</v>
      </c>
      <c r="S101" s="63">
        <v>93.63</v>
      </c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5"/>
      <c r="AM101" s="56"/>
      <c r="AN101" s="65"/>
      <c r="AO101" s="55"/>
      <c r="AP101" s="56"/>
      <c r="AQ101" s="55"/>
      <c r="AR101" s="55"/>
    </row>
    <row r="102">
      <c r="A102" s="59" t="s">
        <v>54</v>
      </c>
      <c r="B102" s="59"/>
      <c r="C102" s="59">
        <v>22379.0</v>
      </c>
      <c r="D102" s="60" t="s">
        <v>232</v>
      </c>
      <c r="E102" s="61">
        <v>27.0</v>
      </c>
      <c r="F102" s="61">
        <v>4977.0</v>
      </c>
      <c r="G102" s="61">
        <v>4542.0</v>
      </c>
      <c r="H102" s="62">
        <v>0.16931712962962964</v>
      </c>
      <c r="I102" s="61">
        <v>125.0</v>
      </c>
      <c r="J102" s="63">
        <f t="shared" si="3"/>
        <v>4.62962963</v>
      </c>
      <c r="K102" s="63">
        <v>89.44</v>
      </c>
      <c r="L102" s="61" t="str">
        <f t="shared" si="4"/>
        <v>85-90</v>
      </c>
      <c r="M102" s="63">
        <v>84.36</v>
      </c>
      <c r="N102" s="63">
        <v>86.89</v>
      </c>
      <c r="O102" s="63"/>
      <c r="P102" s="63">
        <v>91.4</v>
      </c>
      <c r="Q102" s="63">
        <v>93.03</v>
      </c>
      <c r="R102" s="63">
        <v>18.18</v>
      </c>
      <c r="S102" s="63">
        <v>93.58</v>
      </c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5"/>
      <c r="AM102" s="56"/>
      <c r="AN102" s="65"/>
      <c r="AO102" s="55"/>
      <c r="AP102" s="56"/>
      <c r="AQ102" s="55"/>
      <c r="AR102" s="55"/>
    </row>
    <row r="103">
      <c r="A103" s="59" t="s">
        <v>54</v>
      </c>
      <c r="B103" s="59"/>
      <c r="C103" s="59" t="s">
        <v>233</v>
      </c>
      <c r="D103" s="60" t="s">
        <v>234</v>
      </c>
      <c r="E103" s="61">
        <v>25.0</v>
      </c>
      <c r="F103" s="61">
        <v>3449.0</v>
      </c>
      <c r="G103" s="61">
        <v>3315.0</v>
      </c>
      <c r="H103" s="62">
        <v>0.15398148148148147</v>
      </c>
      <c r="I103" s="61">
        <v>79.0</v>
      </c>
      <c r="J103" s="63">
        <f t="shared" si="3"/>
        <v>3.16</v>
      </c>
      <c r="K103" s="63">
        <v>90.07</v>
      </c>
      <c r="L103" s="61" t="str">
        <f t="shared" si="4"/>
        <v>91-95</v>
      </c>
      <c r="M103" s="63">
        <v>85.59</v>
      </c>
      <c r="N103" s="63">
        <v>89.85</v>
      </c>
      <c r="O103" s="63"/>
      <c r="P103" s="63">
        <v>91.21</v>
      </c>
      <c r="Q103" s="63">
        <v>92.56</v>
      </c>
      <c r="R103" s="63">
        <v>20.0</v>
      </c>
      <c r="S103" s="63">
        <v>93.69</v>
      </c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5"/>
      <c r="AM103" s="56"/>
      <c r="AN103" s="65"/>
      <c r="AO103" s="55"/>
      <c r="AP103" s="56"/>
      <c r="AQ103" s="55"/>
      <c r="AR103" s="55"/>
    </row>
    <row r="104">
      <c r="A104" s="59" t="s">
        <v>54</v>
      </c>
      <c r="B104" s="59"/>
      <c r="C104" s="59" t="s">
        <v>235</v>
      </c>
      <c r="D104" s="60" t="s">
        <v>236</v>
      </c>
      <c r="E104" s="61">
        <v>26.0</v>
      </c>
      <c r="F104" s="61">
        <v>4100.0</v>
      </c>
      <c r="G104" s="61">
        <v>3458.0</v>
      </c>
      <c r="H104" s="62">
        <v>0.2024537037037037</v>
      </c>
      <c r="I104" s="61">
        <v>133.0</v>
      </c>
      <c r="J104" s="63">
        <f t="shared" si="3"/>
        <v>5.115384615</v>
      </c>
      <c r="K104" s="63">
        <v>90.17</v>
      </c>
      <c r="L104" s="61" t="str">
        <f t="shared" si="4"/>
        <v>91-95</v>
      </c>
      <c r="M104" s="63">
        <v>86.07</v>
      </c>
      <c r="N104" s="63">
        <v>86.41</v>
      </c>
      <c r="O104" s="63"/>
      <c r="P104" s="63">
        <v>91.83</v>
      </c>
      <c r="Q104" s="63">
        <v>93.17</v>
      </c>
      <c r="R104" s="63">
        <v>0.0</v>
      </c>
      <c r="S104" s="63">
        <v>93.82</v>
      </c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5"/>
      <c r="AM104" s="56"/>
      <c r="AN104" s="65"/>
      <c r="AO104" s="55"/>
      <c r="AP104" s="56"/>
      <c r="AQ104" s="55"/>
      <c r="AR104" s="55"/>
    </row>
    <row r="105">
      <c r="A105" s="59" t="s">
        <v>54</v>
      </c>
      <c r="B105" s="59"/>
      <c r="C105" s="59">
        <v>21328.0</v>
      </c>
      <c r="D105" s="60" t="s">
        <v>237</v>
      </c>
      <c r="E105" s="61">
        <v>15.0</v>
      </c>
      <c r="F105" s="61">
        <v>1878.0</v>
      </c>
      <c r="G105" s="61">
        <v>1682.0</v>
      </c>
      <c r="H105" s="62">
        <v>0.11798611111111111</v>
      </c>
      <c r="I105" s="61">
        <v>134.0</v>
      </c>
      <c r="J105" s="63">
        <f t="shared" si="3"/>
        <v>8.933333333</v>
      </c>
      <c r="K105" s="63">
        <v>90.45</v>
      </c>
      <c r="L105" s="61" t="str">
        <f t="shared" si="4"/>
        <v>91-95</v>
      </c>
      <c r="M105" s="63">
        <v>83.91</v>
      </c>
      <c r="N105" s="63">
        <v>89.07</v>
      </c>
      <c r="O105" s="63"/>
      <c r="P105" s="63">
        <v>93.07</v>
      </c>
      <c r="Q105" s="63">
        <v>93.62</v>
      </c>
      <c r="R105" s="63">
        <v>35.71</v>
      </c>
      <c r="S105" s="63">
        <v>94.15</v>
      </c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5"/>
      <c r="AM105" s="56"/>
      <c r="AN105" s="65"/>
      <c r="AO105" s="55"/>
      <c r="AP105" s="56"/>
      <c r="AQ105" s="55"/>
      <c r="AR105" s="55"/>
    </row>
    <row r="106">
      <c r="A106" s="59" t="s">
        <v>54</v>
      </c>
      <c r="B106" s="59"/>
      <c r="C106" s="59" t="s">
        <v>238</v>
      </c>
      <c r="D106" s="60" t="s">
        <v>239</v>
      </c>
      <c r="E106" s="61">
        <v>26.0</v>
      </c>
      <c r="F106" s="61">
        <v>2841.0</v>
      </c>
      <c r="G106" s="61">
        <v>2652.0</v>
      </c>
      <c r="H106" s="62">
        <v>0.12248842592592593</v>
      </c>
      <c r="I106" s="61">
        <v>157.0</v>
      </c>
      <c r="J106" s="63">
        <f t="shared" si="3"/>
        <v>6.038461538</v>
      </c>
      <c r="K106" s="63">
        <v>91.06</v>
      </c>
      <c r="L106" s="61" t="str">
        <f t="shared" si="4"/>
        <v>91-95</v>
      </c>
      <c r="M106" s="63">
        <v>87.19</v>
      </c>
      <c r="N106" s="63">
        <v>88.45</v>
      </c>
      <c r="O106" s="63"/>
      <c r="P106" s="63">
        <v>92.7</v>
      </c>
      <c r="Q106" s="63">
        <v>94.19</v>
      </c>
      <c r="R106" s="63">
        <v>30.0</v>
      </c>
      <c r="S106" s="63">
        <v>94.86</v>
      </c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5"/>
      <c r="AM106" s="56"/>
      <c r="AN106" s="65"/>
      <c r="AO106" s="55"/>
      <c r="AP106" s="56"/>
      <c r="AQ106" s="55"/>
      <c r="AR106" s="55"/>
    </row>
    <row r="107">
      <c r="A107" s="59" t="s">
        <v>54</v>
      </c>
      <c r="B107" s="59"/>
      <c r="C107" s="59">
        <v>21702.0</v>
      </c>
      <c r="D107" s="60" t="s">
        <v>240</v>
      </c>
      <c r="E107" s="61">
        <v>7.0</v>
      </c>
      <c r="F107" s="61">
        <v>1072.0</v>
      </c>
      <c r="G107" s="61">
        <v>992.0</v>
      </c>
      <c r="H107" s="62">
        <v>0.1798611111111111</v>
      </c>
      <c r="I107" s="61">
        <v>41.0</v>
      </c>
      <c r="J107" s="63">
        <f t="shared" si="3"/>
        <v>5.857142857</v>
      </c>
      <c r="K107" s="63">
        <v>91.48</v>
      </c>
      <c r="L107" s="61" t="str">
        <f t="shared" si="4"/>
        <v>91-95</v>
      </c>
      <c r="M107" s="63">
        <v>89.14</v>
      </c>
      <c r="N107" s="63">
        <v>87.37</v>
      </c>
      <c r="O107" s="63"/>
      <c r="P107" s="63">
        <v>93.27</v>
      </c>
      <c r="Q107" s="63">
        <v>93.57</v>
      </c>
      <c r="R107" s="63">
        <v>37.5</v>
      </c>
      <c r="S107" s="63">
        <v>94.43</v>
      </c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5"/>
      <c r="AM107" s="56"/>
      <c r="AN107" s="65"/>
      <c r="AO107" s="55"/>
      <c r="AP107" s="56"/>
      <c r="AQ107" s="55"/>
      <c r="AR107" s="55"/>
    </row>
    <row r="108">
      <c r="A108" s="59" t="s">
        <v>54</v>
      </c>
      <c r="B108" s="59"/>
      <c r="C108" s="59">
        <v>22071.0</v>
      </c>
      <c r="D108" s="60" t="s">
        <v>241</v>
      </c>
      <c r="E108" s="61">
        <v>4.0</v>
      </c>
      <c r="F108" s="61">
        <v>580.0</v>
      </c>
      <c r="G108" s="61">
        <v>521.0</v>
      </c>
      <c r="H108" s="66">
        <v>0.13032407407407406</v>
      </c>
      <c r="I108" s="61">
        <v>20.0</v>
      </c>
      <c r="J108" s="63">
        <f t="shared" si="3"/>
        <v>5</v>
      </c>
      <c r="K108" s="63">
        <v>91.9</v>
      </c>
      <c r="L108" s="61" t="str">
        <f t="shared" si="4"/>
        <v>91-95</v>
      </c>
      <c r="M108" s="63">
        <v>89.61</v>
      </c>
      <c r="N108" s="63">
        <v>89.85</v>
      </c>
      <c r="O108" s="63"/>
      <c r="P108" s="63">
        <v>93.42</v>
      </c>
      <c r="Q108" s="63">
        <v>92.38</v>
      </c>
      <c r="R108" s="63"/>
      <c r="S108" s="63">
        <v>94.13</v>
      </c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5"/>
      <c r="AM108" s="56"/>
      <c r="AN108" s="65"/>
      <c r="AO108" s="55"/>
      <c r="AP108" s="56"/>
      <c r="AQ108" s="55"/>
      <c r="AR108" s="55"/>
    </row>
    <row r="109">
      <c r="A109" s="59" t="s">
        <v>54</v>
      </c>
      <c r="B109" s="59"/>
      <c r="C109" s="59" t="s">
        <v>242</v>
      </c>
      <c r="D109" s="60" t="s">
        <v>243</v>
      </c>
      <c r="E109" s="61">
        <v>2.0</v>
      </c>
      <c r="F109" s="61">
        <v>275.0</v>
      </c>
      <c r="G109" s="61">
        <v>269.0</v>
      </c>
      <c r="H109" s="66">
        <v>0.07474537037037036</v>
      </c>
      <c r="I109" s="61">
        <v>6.0</v>
      </c>
      <c r="J109" s="63">
        <f t="shared" si="3"/>
        <v>3</v>
      </c>
      <c r="K109" s="63">
        <v>92.0</v>
      </c>
      <c r="L109" s="61" t="str">
        <f t="shared" si="4"/>
        <v>91-95</v>
      </c>
      <c r="M109" s="63">
        <v>91.27</v>
      </c>
      <c r="N109" s="63">
        <v>90.0</v>
      </c>
      <c r="O109" s="63"/>
      <c r="P109" s="63">
        <v>90.3</v>
      </c>
      <c r="Q109" s="63">
        <v>93.19</v>
      </c>
      <c r="R109" s="63"/>
      <c r="S109" s="63">
        <v>95.16</v>
      </c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5"/>
      <c r="AM109" s="56"/>
      <c r="AN109" s="65"/>
      <c r="AO109" s="55"/>
      <c r="AP109" s="56"/>
      <c r="AQ109" s="55"/>
      <c r="AR109" s="55"/>
    </row>
    <row r="110">
      <c r="A110" s="59" t="s">
        <v>54</v>
      </c>
      <c r="B110" s="59"/>
      <c r="C110" s="59">
        <v>22469.0</v>
      </c>
      <c r="D110" s="60" t="s">
        <v>244</v>
      </c>
      <c r="E110" s="61">
        <v>27.0</v>
      </c>
      <c r="F110" s="61">
        <v>5299.0</v>
      </c>
      <c r="G110" s="61">
        <v>5169.0</v>
      </c>
      <c r="H110" s="62">
        <v>0.09460648148148149</v>
      </c>
      <c r="I110" s="61">
        <v>79.0</v>
      </c>
      <c r="J110" s="63">
        <f t="shared" si="3"/>
        <v>2.925925926</v>
      </c>
      <c r="K110" s="63"/>
      <c r="L110" s="61"/>
      <c r="M110" s="63"/>
      <c r="N110" s="63"/>
      <c r="O110" s="63"/>
      <c r="P110" s="63"/>
      <c r="Q110" s="63"/>
      <c r="R110" s="63"/>
      <c r="S110" s="63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5"/>
      <c r="AM110" s="56"/>
      <c r="AN110" s="65"/>
      <c r="AO110" s="55"/>
      <c r="AP110" s="56"/>
      <c r="AQ110" s="55"/>
      <c r="AR110" s="55"/>
    </row>
    <row r="111">
      <c r="A111" s="65"/>
      <c r="B111" s="65"/>
      <c r="C111" s="65"/>
      <c r="D111" s="65"/>
      <c r="E111" s="65"/>
      <c r="F111" s="65"/>
      <c r="G111" s="65"/>
      <c r="H111" s="65"/>
      <c r="I111" s="67"/>
      <c r="J111" s="65"/>
      <c r="K111" s="65"/>
      <c r="L111" s="67"/>
      <c r="M111" s="65"/>
      <c r="N111" s="65"/>
      <c r="O111" s="65"/>
      <c r="P111" s="65"/>
      <c r="Q111" s="65"/>
      <c r="R111" s="65"/>
      <c r="S111" s="65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5"/>
      <c r="AM111" s="56"/>
      <c r="AN111" s="65"/>
      <c r="AO111" s="55"/>
      <c r="AP111" s="56"/>
      <c r="AQ111" s="55"/>
      <c r="AR111" s="55"/>
    </row>
    <row r="112">
      <c r="A112" s="54" t="s">
        <v>1</v>
      </c>
      <c r="B112" s="54" t="s">
        <v>34</v>
      </c>
      <c r="C112" s="54" t="s">
        <v>35</v>
      </c>
      <c r="D112" s="54" t="s">
        <v>36</v>
      </c>
      <c r="E112" s="54" t="s">
        <v>37</v>
      </c>
      <c r="F112" s="54" t="s">
        <v>38</v>
      </c>
      <c r="G112" s="54" t="s">
        <v>39</v>
      </c>
      <c r="H112" s="54" t="s">
        <v>40</v>
      </c>
      <c r="I112" s="54" t="s">
        <v>41</v>
      </c>
      <c r="J112" s="54" t="s">
        <v>42</v>
      </c>
      <c r="K112" s="54" t="s">
        <v>245</v>
      </c>
      <c r="L112" s="54" t="s">
        <v>43</v>
      </c>
      <c r="M112" s="54" t="s">
        <v>246</v>
      </c>
      <c r="N112" s="54" t="s">
        <v>247</v>
      </c>
      <c r="O112" s="54" t="s">
        <v>44</v>
      </c>
      <c r="P112" s="54" t="s">
        <v>248</v>
      </c>
      <c r="Q112" s="54" t="s">
        <v>249</v>
      </c>
      <c r="R112" s="54" t="s">
        <v>250</v>
      </c>
      <c r="S112" s="54" t="s">
        <v>251</v>
      </c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 t="s">
        <v>53</v>
      </c>
      <c r="AE112" s="57" t="s">
        <v>53</v>
      </c>
      <c r="AF112" s="56"/>
      <c r="AG112" s="57" t="s">
        <v>53</v>
      </c>
      <c r="AH112" s="57" t="s">
        <v>53</v>
      </c>
      <c r="AI112" s="57" t="s">
        <v>53</v>
      </c>
      <c r="AJ112" s="57" t="s">
        <v>53</v>
      </c>
      <c r="AK112" s="56"/>
      <c r="AL112" s="55"/>
      <c r="AM112" s="57" t="s">
        <v>53</v>
      </c>
      <c r="AN112" s="65"/>
      <c r="AO112" s="55"/>
      <c r="AP112" s="56"/>
      <c r="AQ112" s="55"/>
      <c r="AR112" s="55"/>
    </row>
    <row r="113">
      <c r="A113" s="59" t="s">
        <v>21</v>
      </c>
      <c r="B113" s="59" t="s">
        <v>252</v>
      </c>
      <c r="C113" s="59" t="s">
        <v>253</v>
      </c>
      <c r="D113" s="60" t="s">
        <v>254</v>
      </c>
      <c r="E113" s="61">
        <v>25.0</v>
      </c>
      <c r="F113" s="61">
        <v>4850.0</v>
      </c>
      <c r="G113" s="61">
        <v>4165.0</v>
      </c>
      <c r="H113" s="62">
        <v>0.19690972222222222</v>
      </c>
      <c r="I113" s="61">
        <v>335.0</v>
      </c>
      <c r="J113" s="63">
        <f t="shared" ref="J113:J127" si="7">I113/E113</f>
        <v>13.4</v>
      </c>
      <c r="K113" s="63">
        <v>82.63</v>
      </c>
      <c r="L113" s="61" t="str">
        <f t="shared" ref="L113:L127" si="8">IF(K113&lt;80,"L80",IF(K113&lt;=85,"81-85",IF(K113&lt;=90,"85-90",IF(K113&lt;=95,"91-95","G95%"))))</f>
        <v>81-85</v>
      </c>
      <c r="M113" s="63">
        <v>73.01</v>
      </c>
      <c r="N113" s="63">
        <v>76.57</v>
      </c>
      <c r="O113" s="63"/>
      <c r="P113" s="63">
        <v>86.24</v>
      </c>
      <c r="Q113" s="63">
        <v>88.79</v>
      </c>
      <c r="R113" s="63">
        <v>17.5</v>
      </c>
      <c r="S113" s="63">
        <v>89.61</v>
      </c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>
        <f t="shared" ref="AD113:AE113" si="5">CORREL(M113:M127,$J$113:$J$127)</f>
        <v>0.390514849</v>
      </c>
      <c r="AE113" s="58">
        <f t="shared" si="5"/>
        <v>0.08571459787</v>
      </c>
      <c r="AF113" s="58"/>
      <c r="AG113" s="58">
        <f t="shared" ref="AG113:AJ113" si="6">CORREL(P113:P127,$J$113:$J$127)</f>
        <v>0.07243239485</v>
      </c>
      <c r="AH113" s="58">
        <f t="shared" si="6"/>
        <v>0.1715216958</v>
      </c>
      <c r="AI113" s="58">
        <f t="shared" si="6"/>
        <v>0.2061475752</v>
      </c>
      <c r="AJ113" s="58">
        <f t="shared" si="6"/>
        <v>0.1039795499</v>
      </c>
      <c r="AK113" s="56"/>
      <c r="AL113" s="55"/>
      <c r="AM113" s="58">
        <f>CORREL(K113:K127,J113:J127)</f>
        <v>0.2648019275</v>
      </c>
      <c r="AN113" s="65"/>
      <c r="AO113" s="55"/>
      <c r="AP113" s="56"/>
      <c r="AQ113" s="55"/>
      <c r="AR113" s="55"/>
    </row>
    <row r="114">
      <c r="A114" s="59" t="s">
        <v>21</v>
      </c>
      <c r="B114" s="59" t="s">
        <v>252</v>
      </c>
      <c r="C114" s="59" t="s">
        <v>255</v>
      </c>
      <c r="D114" s="60" t="s">
        <v>256</v>
      </c>
      <c r="E114" s="61">
        <v>25.0</v>
      </c>
      <c r="F114" s="61">
        <v>4144.0</v>
      </c>
      <c r="G114" s="61">
        <v>3577.0</v>
      </c>
      <c r="H114" s="62">
        <v>0.22944444444444445</v>
      </c>
      <c r="I114" s="61">
        <v>343.0</v>
      </c>
      <c r="J114" s="63">
        <f t="shared" si="7"/>
        <v>13.72</v>
      </c>
      <c r="K114" s="63">
        <v>83.84</v>
      </c>
      <c r="L114" s="61" t="str">
        <f t="shared" si="8"/>
        <v>81-85</v>
      </c>
      <c r="M114" s="63">
        <v>73.33</v>
      </c>
      <c r="N114" s="63">
        <v>75.21</v>
      </c>
      <c r="O114" s="63"/>
      <c r="P114" s="63">
        <v>87.37</v>
      </c>
      <c r="Q114" s="63">
        <v>91.19</v>
      </c>
      <c r="R114" s="63">
        <v>33.33</v>
      </c>
      <c r="S114" s="63">
        <v>90.61</v>
      </c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5"/>
      <c r="AM114" s="56"/>
      <c r="AN114" s="65"/>
      <c r="AO114" s="55"/>
      <c r="AP114" s="56"/>
      <c r="AQ114" s="55"/>
      <c r="AR114" s="55"/>
    </row>
    <row r="115">
      <c r="A115" s="59" t="s">
        <v>21</v>
      </c>
      <c r="B115" s="59" t="s">
        <v>252</v>
      </c>
      <c r="C115" s="59" t="s">
        <v>257</v>
      </c>
      <c r="D115" s="60" t="s">
        <v>258</v>
      </c>
      <c r="E115" s="61">
        <v>26.0</v>
      </c>
      <c r="F115" s="61">
        <v>5212.0</v>
      </c>
      <c r="G115" s="61">
        <v>4419.0</v>
      </c>
      <c r="H115" s="62">
        <v>0.22621527777777778</v>
      </c>
      <c r="I115" s="61">
        <v>441.0</v>
      </c>
      <c r="J115" s="63">
        <f t="shared" si="7"/>
        <v>16.96153846</v>
      </c>
      <c r="K115" s="63">
        <v>84.87</v>
      </c>
      <c r="L115" s="61" t="str">
        <f t="shared" si="8"/>
        <v>81-85</v>
      </c>
      <c r="M115" s="63">
        <v>76.2</v>
      </c>
      <c r="N115" s="63">
        <v>77.55</v>
      </c>
      <c r="O115" s="63"/>
      <c r="P115" s="63">
        <v>89.53</v>
      </c>
      <c r="Q115" s="63">
        <v>91.23</v>
      </c>
      <c r="R115" s="63">
        <v>30.0</v>
      </c>
      <c r="S115" s="63">
        <v>91.88</v>
      </c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5"/>
      <c r="AM115" s="56"/>
      <c r="AN115" s="65"/>
      <c r="AO115" s="55"/>
      <c r="AP115" s="56"/>
      <c r="AQ115" s="55"/>
      <c r="AR115" s="55"/>
    </row>
    <row r="116">
      <c r="A116" s="59" t="s">
        <v>21</v>
      </c>
      <c r="B116" s="59" t="s">
        <v>252</v>
      </c>
      <c r="C116" s="59" t="s">
        <v>259</v>
      </c>
      <c r="D116" s="60" t="s">
        <v>260</v>
      </c>
      <c r="E116" s="61">
        <v>24.0</v>
      </c>
      <c r="F116" s="61">
        <v>3433.0</v>
      </c>
      <c r="G116" s="61">
        <v>2888.0</v>
      </c>
      <c r="H116" s="62">
        <v>0.2223726851851852</v>
      </c>
      <c r="I116" s="61">
        <v>301.0</v>
      </c>
      <c r="J116" s="63">
        <f t="shared" si="7"/>
        <v>12.54166667</v>
      </c>
      <c r="K116" s="63">
        <v>84.97</v>
      </c>
      <c r="L116" s="61" t="str">
        <f t="shared" si="8"/>
        <v>81-85</v>
      </c>
      <c r="M116" s="63">
        <v>78.06</v>
      </c>
      <c r="N116" s="63">
        <v>80.65</v>
      </c>
      <c r="O116" s="63"/>
      <c r="P116" s="63">
        <v>88.19</v>
      </c>
      <c r="Q116" s="63">
        <v>89.58</v>
      </c>
      <c r="R116" s="63">
        <v>0.0</v>
      </c>
      <c r="S116" s="63">
        <v>90.4</v>
      </c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5"/>
      <c r="AM116" s="56"/>
      <c r="AN116" s="65"/>
      <c r="AO116" s="55"/>
      <c r="AP116" s="56"/>
      <c r="AQ116" s="55"/>
      <c r="AR116" s="55"/>
    </row>
    <row r="117">
      <c r="A117" s="59" t="s">
        <v>21</v>
      </c>
      <c r="B117" s="59" t="s">
        <v>252</v>
      </c>
      <c r="C117" s="59" t="s">
        <v>261</v>
      </c>
      <c r="D117" s="60" t="s">
        <v>262</v>
      </c>
      <c r="E117" s="61">
        <v>25.0</v>
      </c>
      <c r="F117" s="61">
        <v>5594.0</v>
      </c>
      <c r="G117" s="61">
        <v>4590.0</v>
      </c>
      <c r="H117" s="62">
        <v>0.2405787037037037</v>
      </c>
      <c r="I117" s="61">
        <v>461.0</v>
      </c>
      <c r="J117" s="63">
        <f t="shared" si="7"/>
        <v>18.44</v>
      </c>
      <c r="K117" s="63">
        <v>85.48</v>
      </c>
      <c r="L117" s="61" t="str">
        <f t="shared" si="8"/>
        <v>85-90</v>
      </c>
      <c r="M117" s="63">
        <v>77.56</v>
      </c>
      <c r="N117" s="63">
        <v>79.7</v>
      </c>
      <c r="O117" s="63"/>
      <c r="P117" s="63">
        <v>88.96</v>
      </c>
      <c r="Q117" s="63">
        <v>90.9</v>
      </c>
      <c r="R117" s="63">
        <v>17.65</v>
      </c>
      <c r="S117" s="63">
        <v>91.08</v>
      </c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5"/>
      <c r="AM117" s="56"/>
      <c r="AN117" s="65"/>
      <c r="AO117" s="55"/>
      <c r="AP117" s="56"/>
      <c r="AQ117" s="55"/>
      <c r="AR117" s="55"/>
    </row>
    <row r="118">
      <c r="A118" s="59" t="s">
        <v>21</v>
      </c>
      <c r="B118" s="59" t="s">
        <v>252</v>
      </c>
      <c r="C118" s="59" t="s">
        <v>263</v>
      </c>
      <c r="D118" s="60" t="s">
        <v>264</v>
      </c>
      <c r="E118" s="61">
        <v>26.0</v>
      </c>
      <c r="F118" s="61">
        <v>4369.0</v>
      </c>
      <c r="G118" s="61">
        <v>3622.0</v>
      </c>
      <c r="H118" s="62">
        <v>0.22550925925925927</v>
      </c>
      <c r="I118" s="61">
        <v>381.0</v>
      </c>
      <c r="J118" s="63">
        <f t="shared" si="7"/>
        <v>14.65384615</v>
      </c>
      <c r="K118" s="63">
        <v>86.49</v>
      </c>
      <c r="L118" s="61" t="str">
        <f t="shared" si="8"/>
        <v>85-90</v>
      </c>
      <c r="M118" s="63">
        <v>76.25</v>
      </c>
      <c r="N118" s="63">
        <v>80.93</v>
      </c>
      <c r="O118" s="63"/>
      <c r="P118" s="63">
        <v>91.97</v>
      </c>
      <c r="Q118" s="63">
        <v>92.71</v>
      </c>
      <c r="R118" s="63">
        <v>22.22</v>
      </c>
      <c r="S118" s="63">
        <v>93.8</v>
      </c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5"/>
      <c r="AM118" s="56"/>
      <c r="AN118" s="65"/>
      <c r="AO118" s="55"/>
      <c r="AP118" s="56"/>
      <c r="AQ118" s="55"/>
      <c r="AR118" s="55"/>
    </row>
    <row r="119">
      <c r="A119" s="59" t="s">
        <v>21</v>
      </c>
      <c r="B119" s="59" t="s">
        <v>252</v>
      </c>
      <c r="C119" s="59" t="s">
        <v>265</v>
      </c>
      <c r="D119" s="60" t="s">
        <v>266</v>
      </c>
      <c r="E119" s="61">
        <v>1.0</v>
      </c>
      <c r="F119" s="61">
        <v>189.0</v>
      </c>
      <c r="G119" s="61">
        <v>128.0</v>
      </c>
      <c r="H119" s="66">
        <v>0.14077546296296295</v>
      </c>
      <c r="I119" s="61">
        <v>19.0</v>
      </c>
      <c r="J119" s="63">
        <f t="shared" si="7"/>
        <v>19</v>
      </c>
      <c r="K119" s="63">
        <v>86.9</v>
      </c>
      <c r="L119" s="61" t="str">
        <f t="shared" si="8"/>
        <v>85-90</v>
      </c>
      <c r="M119" s="63">
        <v>94.19</v>
      </c>
      <c r="N119" s="63">
        <v>78.71</v>
      </c>
      <c r="O119" s="63"/>
      <c r="P119" s="63">
        <v>84.52</v>
      </c>
      <c r="Q119" s="63">
        <v>88.71</v>
      </c>
      <c r="R119" s="63"/>
      <c r="S119" s="63">
        <v>88.39</v>
      </c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5"/>
      <c r="AM119" s="56"/>
      <c r="AN119" s="65"/>
      <c r="AO119" s="55"/>
      <c r="AP119" s="56"/>
      <c r="AQ119" s="55"/>
      <c r="AR119" s="55"/>
    </row>
    <row r="120">
      <c r="A120" s="59" t="s">
        <v>21</v>
      </c>
      <c r="B120" s="59" t="s">
        <v>252</v>
      </c>
      <c r="C120" s="59" t="s">
        <v>267</v>
      </c>
      <c r="D120" s="60" t="s">
        <v>268</v>
      </c>
      <c r="E120" s="61">
        <v>25.0</v>
      </c>
      <c r="F120" s="61">
        <v>4334.0</v>
      </c>
      <c r="G120" s="61">
        <v>3481.0</v>
      </c>
      <c r="H120" s="62">
        <v>0.22229166666666667</v>
      </c>
      <c r="I120" s="61">
        <v>301.0</v>
      </c>
      <c r="J120" s="63">
        <f t="shared" si="7"/>
        <v>12.04</v>
      </c>
      <c r="K120" s="63">
        <v>87.28</v>
      </c>
      <c r="L120" s="61" t="str">
        <f t="shared" si="8"/>
        <v>85-90</v>
      </c>
      <c r="M120" s="63">
        <v>80.47</v>
      </c>
      <c r="N120" s="63">
        <v>82.97</v>
      </c>
      <c r="O120" s="63"/>
      <c r="P120" s="63">
        <v>90.53</v>
      </c>
      <c r="Q120" s="63">
        <v>91.25</v>
      </c>
      <c r="R120" s="63">
        <v>16.18</v>
      </c>
      <c r="S120" s="63">
        <v>92.75</v>
      </c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5"/>
      <c r="AM120" s="56"/>
      <c r="AN120" s="65"/>
      <c r="AO120" s="55"/>
      <c r="AP120" s="56"/>
      <c r="AQ120" s="55"/>
      <c r="AR120" s="55"/>
    </row>
    <row r="121">
      <c r="A121" s="59" t="s">
        <v>21</v>
      </c>
      <c r="B121" s="59" t="s">
        <v>252</v>
      </c>
      <c r="C121" s="59" t="s">
        <v>269</v>
      </c>
      <c r="D121" s="60" t="s">
        <v>270</v>
      </c>
      <c r="E121" s="61">
        <v>22.0</v>
      </c>
      <c r="F121" s="61">
        <v>3512.0</v>
      </c>
      <c r="G121" s="61">
        <v>3029.0</v>
      </c>
      <c r="H121" s="62">
        <v>0.2131712962962963</v>
      </c>
      <c r="I121" s="61">
        <v>255.0</v>
      </c>
      <c r="J121" s="63">
        <f t="shared" si="7"/>
        <v>11.59090909</v>
      </c>
      <c r="K121" s="63">
        <v>87.3</v>
      </c>
      <c r="L121" s="61" t="str">
        <f t="shared" si="8"/>
        <v>85-90</v>
      </c>
      <c r="M121" s="63">
        <v>79.01</v>
      </c>
      <c r="N121" s="63">
        <v>84.01</v>
      </c>
      <c r="O121" s="63"/>
      <c r="P121" s="63">
        <v>90.4</v>
      </c>
      <c r="Q121" s="63">
        <v>91.6</v>
      </c>
      <c r="R121" s="63">
        <v>19.05</v>
      </c>
      <c r="S121" s="63">
        <v>92.28</v>
      </c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5"/>
      <c r="AM121" s="56"/>
      <c r="AN121" s="65"/>
      <c r="AO121" s="55"/>
      <c r="AP121" s="56"/>
      <c r="AQ121" s="55"/>
      <c r="AR121" s="55"/>
    </row>
    <row r="122">
      <c r="A122" s="59" t="s">
        <v>21</v>
      </c>
      <c r="B122" s="59" t="s">
        <v>252</v>
      </c>
      <c r="C122" s="59" t="s">
        <v>271</v>
      </c>
      <c r="D122" s="60" t="s">
        <v>272</v>
      </c>
      <c r="E122" s="61">
        <v>25.0</v>
      </c>
      <c r="F122" s="61">
        <v>5030.0</v>
      </c>
      <c r="G122" s="61">
        <v>4032.0</v>
      </c>
      <c r="H122" s="62">
        <v>0.2230787037037037</v>
      </c>
      <c r="I122" s="61">
        <v>469.0</v>
      </c>
      <c r="J122" s="63">
        <f t="shared" si="7"/>
        <v>18.76</v>
      </c>
      <c r="K122" s="63">
        <v>87.7</v>
      </c>
      <c r="L122" s="61" t="str">
        <f t="shared" si="8"/>
        <v>85-90</v>
      </c>
      <c r="M122" s="63">
        <v>79.53</v>
      </c>
      <c r="N122" s="63">
        <v>83.51</v>
      </c>
      <c r="O122" s="63"/>
      <c r="P122" s="63">
        <v>91.01</v>
      </c>
      <c r="Q122" s="63">
        <v>92.49</v>
      </c>
      <c r="R122" s="63">
        <v>9.09</v>
      </c>
      <c r="S122" s="63">
        <v>93.24</v>
      </c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5"/>
      <c r="AM122" s="56"/>
      <c r="AN122" s="65"/>
      <c r="AO122" s="55"/>
      <c r="AP122" s="56"/>
      <c r="AQ122" s="55"/>
      <c r="AR122" s="55"/>
    </row>
    <row r="123">
      <c r="A123" s="59" t="s">
        <v>21</v>
      </c>
      <c r="B123" s="59" t="s">
        <v>252</v>
      </c>
      <c r="C123" s="59" t="s">
        <v>273</v>
      </c>
      <c r="D123" s="60" t="s">
        <v>274</v>
      </c>
      <c r="E123" s="61">
        <v>27.0</v>
      </c>
      <c r="F123" s="61">
        <v>4031.0</v>
      </c>
      <c r="G123" s="61">
        <v>3314.0</v>
      </c>
      <c r="H123" s="62">
        <v>0.2274884259259259</v>
      </c>
      <c r="I123" s="61">
        <v>300.0</v>
      </c>
      <c r="J123" s="63">
        <f t="shared" si="7"/>
        <v>11.11111111</v>
      </c>
      <c r="K123" s="63">
        <v>87.8</v>
      </c>
      <c r="L123" s="61" t="str">
        <f t="shared" si="8"/>
        <v>85-90</v>
      </c>
      <c r="M123" s="63">
        <v>82.07</v>
      </c>
      <c r="N123" s="63">
        <v>84.4</v>
      </c>
      <c r="O123" s="63"/>
      <c r="P123" s="63">
        <v>90.86</v>
      </c>
      <c r="Q123" s="63">
        <v>91.91</v>
      </c>
      <c r="R123" s="63">
        <v>0.0</v>
      </c>
      <c r="S123" s="63">
        <v>92.88</v>
      </c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5"/>
      <c r="AM123" s="56"/>
      <c r="AN123" s="65"/>
      <c r="AO123" s="55"/>
      <c r="AP123" s="56"/>
      <c r="AQ123" s="55"/>
      <c r="AR123" s="55"/>
    </row>
    <row r="124">
      <c r="A124" s="59" t="s">
        <v>21</v>
      </c>
      <c r="B124" s="59" t="s">
        <v>252</v>
      </c>
      <c r="C124" s="59" t="s">
        <v>275</v>
      </c>
      <c r="D124" s="60" t="s">
        <v>276</v>
      </c>
      <c r="E124" s="61">
        <v>25.0</v>
      </c>
      <c r="F124" s="61">
        <v>4198.0</v>
      </c>
      <c r="G124" s="61">
        <v>3384.0</v>
      </c>
      <c r="H124" s="62">
        <v>0.22457175925925926</v>
      </c>
      <c r="I124" s="61">
        <v>329.0</v>
      </c>
      <c r="J124" s="63">
        <f t="shared" si="7"/>
        <v>13.16</v>
      </c>
      <c r="K124" s="63">
        <v>88.12</v>
      </c>
      <c r="L124" s="61" t="str">
        <f t="shared" si="8"/>
        <v>85-90</v>
      </c>
      <c r="M124" s="63">
        <v>80.94</v>
      </c>
      <c r="N124" s="63">
        <v>84.51</v>
      </c>
      <c r="O124" s="63"/>
      <c r="P124" s="63">
        <v>91.82</v>
      </c>
      <c r="Q124" s="63">
        <v>92.27</v>
      </c>
      <c r="R124" s="63">
        <v>21.94</v>
      </c>
      <c r="S124" s="63">
        <v>93.47</v>
      </c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5"/>
      <c r="AM124" s="56"/>
      <c r="AN124" s="65"/>
      <c r="AO124" s="55"/>
      <c r="AP124" s="56"/>
      <c r="AQ124" s="55"/>
      <c r="AR124" s="55"/>
    </row>
    <row r="125">
      <c r="A125" s="59" t="s">
        <v>21</v>
      </c>
      <c r="B125" s="59" t="s">
        <v>252</v>
      </c>
      <c r="C125" s="59" t="s">
        <v>277</v>
      </c>
      <c r="D125" s="60" t="s">
        <v>278</v>
      </c>
      <c r="E125" s="61">
        <v>26.0</v>
      </c>
      <c r="F125" s="61">
        <v>4338.0</v>
      </c>
      <c r="G125" s="61">
        <v>3548.0</v>
      </c>
      <c r="H125" s="62">
        <v>0.2111111111111111</v>
      </c>
      <c r="I125" s="61">
        <v>303.0</v>
      </c>
      <c r="J125" s="63">
        <f t="shared" si="7"/>
        <v>11.65384615</v>
      </c>
      <c r="K125" s="63">
        <v>88.82</v>
      </c>
      <c r="L125" s="61" t="str">
        <f t="shared" si="8"/>
        <v>85-90</v>
      </c>
      <c r="M125" s="63">
        <v>81.19</v>
      </c>
      <c r="N125" s="63">
        <v>85.56</v>
      </c>
      <c r="O125" s="63"/>
      <c r="P125" s="63">
        <v>91.87</v>
      </c>
      <c r="Q125" s="63">
        <v>92.92</v>
      </c>
      <c r="R125" s="63">
        <v>20.0</v>
      </c>
      <c r="S125" s="63">
        <v>93.64</v>
      </c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5"/>
      <c r="AM125" s="56"/>
      <c r="AN125" s="65"/>
      <c r="AO125" s="55"/>
      <c r="AP125" s="56"/>
      <c r="AQ125" s="55"/>
      <c r="AR125" s="55"/>
    </row>
    <row r="126">
      <c r="A126" s="59" t="s">
        <v>21</v>
      </c>
      <c r="B126" s="59" t="s">
        <v>252</v>
      </c>
      <c r="C126" s="59" t="s">
        <v>279</v>
      </c>
      <c r="D126" s="60" t="s">
        <v>280</v>
      </c>
      <c r="E126" s="61">
        <v>2.0</v>
      </c>
      <c r="F126" s="61">
        <v>419.0</v>
      </c>
      <c r="G126" s="61">
        <v>337.0</v>
      </c>
      <c r="H126" s="66">
        <v>0.18677083333333333</v>
      </c>
      <c r="I126" s="61">
        <v>25.0</v>
      </c>
      <c r="J126" s="63">
        <f t="shared" si="7"/>
        <v>12.5</v>
      </c>
      <c r="K126" s="63">
        <v>91.75</v>
      </c>
      <c r="L126" s="61" t="str">
        <f t="shared" si="8"/>
        <v>91-95</v>
      </c>
      <c r="M126" s="63">
        <v>91.14</v>
      </c>
      <c r="N126" s="63">
        <v>88.02</v>
      </c>
      <c r="O126" s="63"/>
      <c r="P126" s="63">
        <v>93.3</v>
      </c>
      <c r="Q126" s="63">
        <v>91.69</v>
      </c>
      <c r="R126" s="63"/>
      <c r="S126" s="63">
        <v>94.37</v>
      </c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5"/>
      <c r="AM126" s="56"/>
      <c r="AN126" s="65"/>
      <c r="AO126" s="55"/>
      <c r="AP126" s="56"/>
      <c r="AQ126" s="55"/>
      <c r="AR126" s="55"/>
    </row>
    <row r="127">
      <c r="A127" s="59" t="s">
        <v>21</v>
      </c>
      <c r="B127" s="59" t="s">
        <v>252</v>
      </c>
      <c r="C127" s="59" t="s">
        <v>281</v>
      </c>
      <c r="D127" s="60" t="s">
        <v>282</v>
      </c>
      <c r="E127" s="61">
        <v>3.0</v>
      </c>
      <c r="F127" s="61">
        <v>491.0</v>
      </c>
      <c r="G127" s="61">
        <v>432.0</v>
      </c>
      <c r="H127" s="66">
        <v>0.22368055555555555</v>
      </c>
      <c r="I127" s="61">
        <v>64.0</v>
      </c>
      <c r="J127" s="63">
        <f t="shared" si="7"/>
        <v>21.33333333</v>
      </c>
      <c r="K127" s="63">
        <v>95.36666667</v>
      </c>
      <c r="L127" s="61" t="str">
        <f t="shared" si="8"/>
        <v>G95%</v>
      </c>
      <c r="M127" s="63">
        <v>94.76</v>
      </c>
      <c r="N127" s="63">
        <v>93.15</v>
      </c>
      <c r="O127" s="63"/>
      <c r="P127" s="63">
        <v>96.73</v>
      </c>
      <c r="Q127" s="63">
        <v>94.92</v>
      </c>
      <c r="R127" s="63"/>
      <c r="S127" s="63">
        <v>97.35</v>
      </c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5"/>
      <c r="AM127" s="56"/>
      <c r="AN127" s="65"/>
      <c r="AO127" s="55"/>
      <c r="AP127" s="56"/>
      <c r="AQ127" s="55"/>
      <c r="AR127" s="55"/>
    </row>
    <row r="128">
      <c r="A128" s="65"/>
      <c r="B128" s="65"/>
      <c r="C128" s="65"/>
      <c r="D128" s="65"/>
      <c r="E128" s="65"/>
      <c r="F128" s="65"/>
      <c r="G128" s="65"/>
      <c r="H128" s="65"/>
      <c r="I128" s="67"/>
      <c r="J128" s="65"/>
      <c r="K128" s="65"/>
      <c r="L128" s="67"/>
      <c r="M128" s="65"/>
      <c r="N128" s="65"/>
      <c r="O128" s="65"/>
      <c r="P128" s="65"/>
      <c r="Q128" s="65"/>
      <c r="R128" s="65"/>
      <c r="S128" s="65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5"/>
      <c r="AM128" s="56"/>
      <c r="AN128" s="65"/>
      <c r="AO128" s="55"/>
      <c r="AP128" s="56"/>
      <c r="AQ128" s="55"/>
      <c r="AR128" s="55"/>
    </row>
    <row r="129">
      <c r="A129" s="54" t="s">
        <v>1</v>
      </c>
      <c r="B129" s="54" t="s">
        <v>34</v>
      </c>
      <c r="C129" s="54" t="s">
        <v>35</v>
      </c>
      <c r="D129" s="54" t="s">
        <v>36</v>
      </c>
      <c r="E129" s="54" t="s">
        <v>37</v>
      </c>
      <c r="F129" s="54" t="s">
        <v>38</v>
      </c>
      <c r="G129" s="54" t="s">
        <v>39</v>
      </c>
      <c r="H129" s="54" t="s">
        <v>40</v>
      </c>
      <c r="I129" s="54" t="s">
        <v>41</v>
      </c>
      <c r="J129" s="54" t="s">
        <v>42</v>
      </c>
      <c r="K129" s="54" t="s">
        <v>245</v>
      </c>
      <c r="L129" s="54" t="s">
        <v>43</v>
      </c>
      <c r="M129" s="54" t="s">
        <v>246</v>
      </c>
      <c r="N129" s="54" t="s">
        <v>247</v>
      </c>
      <c r="O129" s="54" t="s">
        <v>44</v>
      </c>
      <c r="P129" s="54" t="s">
        <v>248</v>
      </c>
      <c r="Q129" s="54" t="s">
        <v>249</v>
      </c>
      <c r="R129" s="54" t="s">
        <v>250</v>
      </c>
      <c r="S129" s="54" t="s">
        <v>251</v>
      </c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 t="s">
        <v>53</v>
      </c>
      <c r="AE129" s="57" t="s">
        <v>53</v>
      </c>
      <c r="AF129" s="56"/>
      <c r="AG129" s="57" t="s">
        <v>53</v>
      </c>
      <c r="AH129" s="57" t="s">
        <v>53</v>
      </c>
      <c r="AI129" s="57" t="s">
        <v>53</v>
      </c>
      <c r="AJ129" s="57" t="s">
        <v>53</v>
      </c>
      <c r="AK129" s="56"/>
      <c r="AL129" s="55"/>
      <c r="AM129" s="57" t="s">
        <v>53</v>
      </c>
      <c r="AN129" s="65"/>
      <c r="AO129" s="55"/>
      <c r="AP129" s="56"/>
      <c r="AQ129" s="55"/>
      <c r="AR129" s="55"/>
    </row>
    <row r="130">
      <c r="A130" s="59" t="s">
        <v>20</v>
      </c>
      <c r="B130" s="59"/>
      <c r="C130" s="59">
        <v>40510.0</v>
      </c>
      <c r="D130" s="60" t="s">
        <v>283</v>
      </c>
      <c r="E130" s="61">
        <v>27.0</v>
      </c>
      <c r="F130" s="61">
        <v>6255.0</v>
      </c>
      <c r="G130" s="61">
        <v>5011.0</v>
      </c>
      <c r="H130" s="62">
        <v>0.2063773148148148</v>
      </c>
      <c r="I130" s="61">
        <v>69.0</v>
      </c>
      <c r="J130" s="63">
        <f t="shared" ref="J130:J168" si="11">I130/E130</f>
        <v>2.555555556</v>
      </c>
      <c r="K130" s="63">
        <v>89.36</v>
      </c>
      <c r="L130" s="61" t="str">
        <f t="shared" ref="L130:L168" si="12">IF(K130&lt;80,"L80",IF(K130&lt;=85,"81-85",IF(K130&lt;=90,"85-90",IF(K130&lt;=95,"91-95","G95%"))))</f>
        <v>85-90</v>
      </c>
      <c r="M130" s="63">
        <v>87.53</v>
      </c>
      <c r="N130" s="63">
        <v>81.06</v>
      </c>
      <c r="O130" s="63"/>
      <c r="P130" s="63">
        <v>91.68</v>
      </c>
      <c r="Q130" s="63">
        <v>92.07</v>
      </c>
      <c r="R130" s="63">
        <v>16.67</v>
      </c>
      <c r="S130" s="63">
        <v>93.34</v>
      </c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>
        <f t="shared" ref="AD130:AE130" si="9">CORREL(M130:M168,$J$130:$J$168)</f>
        <v>-0.5081977211</v>
      </c>
      <c r="AE130" s="58">
        <f t="shared" si="9"/>
        <v>-0.2233131996</v>
      </c>
      <c r="AF130" s="58"/>
      <c r="AG130" s="58">
        <f t="shared" ref="AG130:AJ130" si="10">CORREL(P130:P168,$J$130:$J$168)</f>
        <v>-0.1546855592</v>
      </c>
      <c r="AH130" s="58">
        <f t="shared" si="10"/>
        <v>-0.2221607877</v>
      </c>
      <c r="AI130" s="58">
        <f t="shared" si="10"/>
        <v>-0.2255616139</v>
      </c>
      <c r="AJ130" s="58">
        <f t="shared" si="10"/>
        <v>-0.2643660772</v>
      </c>
      <c r="AK130" s="56"/>
      <c r="AL130" s="55"/>
      <c r="AM130" s="58">
        <f>CORREL(J130:J168,K130:K168)</f>
        <v>-0.3735967949</v>
      </c>
      <c r="AN130" s="68"/>
      <c r="AO130" s="55"/>
      <c r="AP130" s="56"/>
      <c r="AQ130" s="55"/>
      <c r="AR130" s="55"/>
    </row>
    <row r="131">
      <c r="A131" s="59" t="s">
        <v>20</v>
      </c>
      <c r="B131" s="59"/>
      <c r="C131" s="59">
        <v>41912.0</v>
      </c>
      <c r="D131" s="60" t="s">
        <v>284</v>
      </c>
      <c r="E131" s="61">
        <v>27.0</v>
      </c>
      <c r="F131" s="61">
        <v>5668.0</v>
      </c>
      <c r="G131" s="61">
        <v>4340.0</v>
      </c>
      <c r="H131" s="62">
        <v>0.20805555555555555</v>
      </c>
      <c r="I131" s="61">
        <v>56.0</v>
      </c>
      <c r="J131" s="63">
        <f t="shared" si="11"/>
        <v>2.074074074</v>
      </c>
      <c r="K131" s="63">
        <v>88.94</v>
      </c>
      <c r="L131" s="61" t="str">
        <f t="shared" si="12"/>
        <v>85-90</v>
      </c>
      <c r="M131" s="63">
        <v>86.44</v>
      </c>
      <c r="N131" s="63">
        <v>80.37</v>
      </c>
      <c r="O131" s="63"/>
      <c r="P131" s="63">
        <v>91.65</v>
      </c>
      <c r="Q131" s="63">
        <v>91.96</v>
      </c>
      <c r="R131" s="63">
        <v>16.67</v>
      </c>
      <c r="S131" s="63">
        <v>93.49</v>
      </c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5"/>
      <c r="AM131" s="56"/>
      <c r="AN131" s="65"/>
      <c r="AO131" s="55"/>
      <c r="AP131" s="56"/>
      <c r="AQ131" s="55"/>
      <c r="AR131" s="55"/>
    </row>
    <row r="132">
      <c r="A132" s="59" t="s">
        <v>20</v>
      </c>
      <c r="B132" s="59"/>
      <c r="C132" s="59">
        <v>42319.0</v>
      </c>
      <c r="D132" s="60" t="s">
        <v>285</v>
      </c>
      <c r="E132" s="61">
        <v>25.0</v>
      </c>
      <c r="F132" s="61">
        <v>5659.0</v>
      </c>
      <c r="G132" s="61">
        <v>3995.0</v>
      </c>
      <c r="H132" s="62">
        <v>0.2004050925925926</v>
      </c>
      <c r="I132" s="61">
        <v>107.0</v>
      </c>
      <c r="J132" s="63">
        <f t="shared" si="11"/>
        <v>4.28</v>
      </c>
      <c r="K132" s="63">
        <v>87.25</v>
      </c>
      <c r="L132" s="61" t="str">
        <f t="shared" si="12"/>
        <v>85-90</v>
      </c>
      <c r="M132" s="63">
        <v>80.86</v>
      </c>
      <c r="N132" s="63">
        <v>82.71</v>
      </c>
      <c r="O132" s="63"/>
      <c r="P132" s="63">
        <v>90.48</v>
      </c>
      <c r="Q132" s="63">
        <v>90.99</v>
      </c>
      <c r="R132" s="63">
        <v>19.44</v>
      </c>
      <c r="S132" s="63">
        <v>92.57</v>
      </c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5"/>
      <c r="AM132" s="56"/>
      <c r="AN132" s="65"/>
      <c r="AO132" s="55"/>
      <c r="AP132" s="56"/>
      <c r="AQ132" s="55"/>
      <c r="AR132" s="55"/>
    </row>
    <row r="133">
      <c r="A133" s="59" t="s">
        <v>20</v>
      </c>
      <c r="B133" s="59"/>
      <c r="C133" s="59">
        <v>60251.0</v>
      </c>
      <c r="D133" s="60" t="s">
        <v>286</v>
      </c>
      <c r="E133" s="61">
        <v>26.0</v>
      </c>
      <c r="F133" s="61">
        <v>7692.0</v>
      </c>
      <c r="G133" s="61">
        <v>5736.0</v>
      </c>
      <c r="H133" s="62">
        <v>0.1776273148148148</v>
      </c>
      <c r="I133" s="61">
        <v>54.0</v>
      </c>
      <c r="J133" s="63">
        <f t="shared" si="11"/>
        <v>2.076923077</v>
      </c>
      <c r="K133" s="63">
        <v>86.39</v>
      </c>
      <c r="L133" s="61" t="str">
        <f t="shared" si="12"/>
        <v>85-90</v>
      </c>
      <c r="M133" s="63">
        <v>82.22</v>
      </c>
      <c r="N133" s="63">
        <v>78.44</v>
      </c>
      <c r="O133" s="63"/>
      <c r="P133" s="63">
        <v>89.21</v>
      </c>
      <c r="Q133" s="63">
        <v>90.52</v>
      </c>
      <c r="R133" s="63">
        <v>5.71</v>
      </c>
      <c r="S133" s="63">
        <v>92.33</v>
      </c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5"/>
      <c r="AM133" s="56"/>
      <c r="AN133" s="65"/>
      <c r="AO133" s="55"/>
      <c r="AP133" s="56"/>
      <c r="AQ133" s="55"/>
      <c r="AR133" s="55"/>
    </row>
    <row r="134">
      <c r="A134" s="59" t="s">
        <v>20</v>
      </c>
      <c r="B134" s="59"/>
      <c r="C134" s="59" t="s">
        <v>287</v>
      </c>
      <c r="D134" s="60" t="s">
        <v>288</v>
      </c>
      <c r="E134" s="61">
        <v>26.0</v>
      </c>
      <c r="F134" s="61">
        <v>5969.0</v>
      </c>
      <c r="G134" s="61">
        <v>4476.0</v>
      </c>
      <c r="H134" s="62">
        <v>0.1713425925925926</v>
      </c>
      <c r="I134" s="61">
        <v>34.0</v>
      </c>
      <c r="J134" s="63">
        <f t="shared" si="11"/>
        <v>1.307692308</v>
      </c>
      <c r="K134" s="63">
        <v>88.21</v>
      </c>
      <c r="L134" s="61" t="str">
        <f t="shared" si="12"/>
        <v>85-90</v>
      </c>
      <c r="M134" s="63">
        <v>82.47</v>
      </c>
      <c r="N134" s="63">
        <v>82.8</v>
      </c>
      <c r="O134" s="63"/>
      <c r="P134" s="63">
        <v>90.52</v>
      </c>
      <c r="Q134" s="63">
        <v>92.45</v>
      </c>
      <c r="R134" s="63">
        <v>11.43</v>
      </c>
      <c r="S134" s="63">
        <v>93.78</v>
      </c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5"/>
      <c r="AM134" s="56"/>
      <c r="AN134" s="65"/>
      <c r="AO134" s="55"/>
      <c r="AP134" s="56"/>
      <c r="AQ134" s="55"/>
      <c r="AR134" s="55"/>
    </row>
    <row r="135">
      <c r="A135" s="59" t="s">
        <v>20</v>
      </c>
      <c r="B135" s="59"/>
      <c r="C135" s="59" t="s">
        <v>289</v>
      </c>
      <c r="D135" s="60" t="s">
        <v>290</v>
      </c>
      <c r="E135" s="61">
        <v>25.0</v>
      </c>
      <c r="F135" s="61">
        <v>5318.0</v>
      </c>
      <c r="G135" s="61">
        <v>4593.0</v>
      </c>
      <c r="H135" s="62">
        <v>0.19248842592592594</v>
      </c>
      <c r="I135" s="61">
        <v>64.0</v>
      </c>
      <c r="J135" s="63">
        <f t="shared" si="11"/>
        <v>2.56</v>
      </c>
      <c r="K135" s="63">
        <v>88.56</v>
      </c>
      <c r="L135" s="61" t="str">
        <f t="shared" si="12"/>
        <v>85-90</v>
      </c>
      <c r="M135" s="63">
        <v>83.47</v>
      </c>
      <c r="N135" s="63">
        <v>83.62</v>
      </c>
      <c r="O135" s="63"/>
      <c r="P135" s="63">
        <v>91.46</v>
      </c>
      <c r="Q135" s="63">
        <v>91.77</v>
      </c>
      <c r="R135" s="63">
        <v>10.0</v>
      </c>
      <c r="S135" s="63">
        <v>92.98</v>
      </c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5"/>
      <c r="AM135" s="56"/>
      <c r="AN135" s="65"/>
      <c r="AO135" s="55"/>
      <c r="AP135" s="56"/>
      <c r="AQ135" s="55"/>
      <c r="AR135" s="55"/>
    </row>
    <row r="136">
      <c r="A136" s="59" t="s">
        <v>20</v>
      </c>
      <c r="B136" s="59"/>
      <c r="C136" s="59">
        <v>43873.0</v>
      </c>
      <c r="D136" s="60" t="s">
        <v>291</v>
      </c>
      <c r="E136" s="61">
        <v>27.0</v>
      </c>
      <c r="F136" s="61">
        <v>7123.0</v>
      </c>
      <c r="G136" s="61">
        <v>5356.0</v>
      </c>
      <c r="H136" s="62">
        <v>0.19333333333333333</v>
      </c>
      <c r="I136" s="61">
        <v>61.0</v>
      </c>
      <c r="J136" s="63">
        <f t="shared" si="11"/>
        <v>2.259259259</v>
      </c>
      <c r="K136" s="63">
        <v>87.54</v>
      </c>
      <c r="L136" s="61" t="str">
        <f t="shared" si="12"/>
        <v>85-90</v>
      </c>
      <c r="M136" s="63">
        <v>85.57</v>
      </c>
      <c r="N136" s="63">
        <v>81.01</v>
      </c>
      <c r="O136" s="63"/>
      <c r="P136" s="63">
        <v>89.43</v>
      </c>
      <c r="Q136" s="63">
        <v>90.08</v>
      </c>
      <c r="R136" s="63">
        <v>20.45</v>
      </c>
      <c r="S136" s="63">
        <v>90.8</v>
      </c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5"/>
      <c r="AM136" s="56"/>
      <c r="AN136" s="65"/>
      <c r="AO136" s="55"/>
      <c r="AP136" s="56"/>
      <c r="AQ136" s="55"/>
      <c r="AR136" s="55"/>
    </row>
    <row r="137">
      <c r="A137" s="59" t="s">
        <v>20</v>
      </c>
      <c r="B137" s="59"/>
      <c r="C137" s="59" t="s">
        <v>292</v>
      </c>
      <c r="D137" s="60" t="s">
        <v>293</v>
      </c>
      <c r="E137" s="61">
        <v>28.0</v>
      </c>
      <c r="F137" s="61">
        <v>5780.0</v>
      </c>
      <c r="G137" s="61">
        <v>4721.0</v>
      </c>
      <c r="H137" s="62">
        <v>0.2013888888888889</v>
      </c>
      <c r="I137" s="61">
        <v>70.0</v>
      </c>
      <c r="J137" s="63">
        <f t="shared" si="11"/>
        <v>2.5</v>
      </c>
      <c r="K137" s="63">
        <v>89.18</v>
      </c>
      <c r="L137" s="61" t="str">
        <f t="shared" si="12"/>
        <v>85-90</v>
      </c>
      <c r="M137" s="63">
        <v>84.19</v>
      </c>
      <c r="N137" s="63">
        <v>83.03</v>
      </c>
      <c r="O137" s="63"/>
      <c r="P137" s="63">
        <v>91.59</v>
      </c>
      <c r="Q137" s="63">
        <v>92.67</v>
      </c>
      <c r="R137" s="63">
        <v>0.0</v>
      </c>
      <c r="S137" s="63">
        <v>94.28</v>
      </c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5"/>
      <c r="AM137" s="56"/>
      <c r="AN137" s="65"/>
      <c r="AO137" s="55"/>
      <c r="AP137" s="56"/>
      <c r="AQ137" s="55"/>
      <c r="AR137" s="55"/>
    </row>
    <row r="138">
      <c r="A138" s="59" t="s">
        <v>20</v>
      </c>
      <c r="B138" s="59"/>
      <c r="C138" s="59">
        <v>43953.0</v>
      </c>
      <c r="D138" s="60" t="s">
        <v>294</v>
      </c>
      <c r="E138" s="61">
        <v>27.0</v>
      </c>
      <c r="F138" s="61">
        <v>6235.0</v>
      </c>
      <c r="G138" s="61">
        <v>4786.0</v>
      </c>
      <c r="H138" s="62">
        <v>0.19848379629629628</v>
      </c>
      <c r="I138" s="61">
        <v>53.0</v>
      </c>
      <c r="J138" s="63">
        <f t="shared" si="11"/>
        <v>1.962962963</v>
      </c>
      <c r="K138" s="63">
        <v>91.2</v>
      </c>
      <c r="L138" s="61" t="str">
        <f t="shared" si="12"/>
        <v>91-95</v>
      </c>
      <c r="M138" s="63">
        <v>87.5</v>
      </c>
      <c r="N138" s="63">
        <v>89.41</v>
      </c>
      <c r="O138" s="63"/>
      <c r="P138" s="63">
        <v>92.46</v>
      </c>
      <c r="Q138" s="63">
        <v>93.71</v>
      </c>
      <c r="R138" s="63">
        <v>0.0</v>
      </c>
      <c r="S138" s="63">
        <v>95.23</v>
      </c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5"/>
      <c r="AM138" s="56"/>
      <c r="AN138" s="65"/>
      <c r="AO138" s="55"/>
      <c r="AP138" s="56"/>
      <c r="AQ138" s="55"/>
      <c r="AR138" s="55"/>
    </row>
    <row r="139">
      <c r="A139" s="59" t="s">
        <v>20</v>
      </c>
      <c r="B139" s="59"/>
      <c r="C139" s="59">
        <v>43960.0</v>
      </c>
      <c r="D139" s="60" t="s">
        <v>295</v>
      </c>
      <c r="E139" s="61">
        <v>26.0</v>
      </c>
      <c r="F139" s="61">
        <v>6499.0</v>
      </c>
      <c r="G139" s="61">
        <v>5195.0</v>
      </c>
      <c r="H139" s="62">
        <v>0.18688657407407408</v>
      </c>
      <c r="I139" s="61">
        <v>54.0</v>
      </c>
      <c r="J139" s="63">
        <f t="shared" si="11"/>
        <v>2.076923077</v>
      </c>
      <c r="K139" s="63">
        <v>89.94</v>
      </c>
      <c r="L139" s="61" t="str">
        <f t="shared" si="12"/>
        <v>85-90</v>
      </c>
      <c r="M139" s="63">
        <v>85.05</v>
      </c>
      <c r="N139" s="63">
        <v>86.26</v>
      </c>
      <c r="O139" s="63"/>
      <c r="P139" s="63">
        <v>93.11</v>
      </c>
      <c r="Q139" s="63">
        <v>93.14</v>
      </c>
      <c r="R139" s="63">
        <v>5.77</v>
      </c>
      <c r="S139" s="63">
        <v>94.72</v>
      </c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5"/>
      <c r="AM139" s="56"/>
      <c r="AN139" s="65"/>
      <c r="AO139" s="55"/>
      <c r="AP139" s="56"/>
      <c r="AQ139" s="55"/>
      <c r="AR139" s="55"/>
    </row>
    <row r="140">
      <c r="A140" s="59" t="s">
        <v>20</v>
      </c>
      <c r="B140" s="59"/>
      <c r="C140" s="59" t="s">
        <v>296</v>
      </c>
      <c r="D140" s="60" t="s">
        <v>297</v>
      </c>
      <c r="E140" s="61">
        <v>23.0</v>
      </c>
      <c r="F140" s="61">
        <v>4079.0</v>
      </c>
      <c r="G140" s="61">
        <v>3248.0</v>
      </c>
      <c r="H140" s="62">
        <v>0.19040509259259258</v>
      </c>
      <c r="I140" s="61">
        <v>45.0</v>
      </c>
      <c r="J140" s="63">
        <f t="shared" si="11"/>
        <v>1.956521739</v>
      </c>
      <c r="K140" s="63">
        <v>88.26</v>
      </c>
      <c r="L140" s="61" t="str">
        <f t="shared" si="12"/>
        <v>85-90</v>
      </c>
      <c r="M140" s="63">
        <v>81.5</v>
      </c>
      <c r="N140" s="63">
        <v>82.11</v>
      </c>
      <c r="O140" s="63"/>
      <c r="P140" s="63">
        <v>91.27</v>
      </c>
      <c r="Q140" s="63">
        <v>92.21</v>
      </c>
      <c r="R140" s="63">
        <v>11.11</v>
      </c>
      <c r="S140" s="63">
        <v>93.05</v>
      </c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5"/>
      <c r="AM140" s="56"/>
      <c r="AN140" s="65"/>
      <c r="AO140" s="55"/>
      <c r="AP140" s="56"/>
      <c r="AQ140" s="55"/>
      <c r="AR140" s="55"/>
    </row>
    <row r="141">
      <c r="A141" s="59" t="s">
        <v>20</v>
      </c>
      <c r="B141" s="59"/>
      <c r="C141" s="59">
        <v>44032.0</v>
      </c>
      <c r="D141" s="60" t="s">
        <v>298</v>
      </c>
      <c r="E141" s="61">
        <v>27.0</v>
      </c>
      <c r="F141" s="61">
        <v>5538.0</v>
      </c>
      <c r="G141" s="61">
        <v>4406.0</v>
      </c>
      <c r="H141" s="62">
        <v>0.19554398148148147</v>
      </c>
      <c r="I141" s="61">
        <v>48.0</v>
      </c>
      <c r="J141" s="63">
        <f t="shared" si="11"/>
        <v>1.777777778</v>
      </c>
      <c r="K141" s="63">
        <v>88.6</v>
      </c>
      <c r="L141" s="61" t="str">
        <f t="shared" si="12"/>
        <v>85-90</v>
      </c>
      <c r="M141" s="63">
        <v>84.62</v>
      </c>
      <c r="N141" s="63">
        <v>81.17</v>
      </c>
      <c r="O141" s="63"/>
      <c r="P141" s="63">
        <v>90.96</v>
      </c>
      <c r="Q141" s="63">
        <v>92.01</v>
      </c>
      <c r="R141" s="63">
        <v>25.0</v>
      </c>
      <c r="S141" s="63">
        <v>93.44</v>
      </c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5"/>
      <c r="AM141" s="56"/>
      <c r="AN141" s="65"/>
      <c r="AO141" s="55"/>
      <c r="AP141" s="56"/>
      <c r="AQ141" s="55"/>
      <c r="AR141" s="55"/>
    </row>
    <row r="142">
      <c r="A142" s="59" t="s">
        <v>20</v>
      </c>
      <c r="B142" s="59"/>
      <c r="C142" s="59">
        <v>42850.0</v>
      </c>
      <c r="D142" s="60" t="s">
        <v>299</v>
      </c>
      <c r="E142" s="61">
        <v>25.0</v>
      </c>
      <c r="F142" s="61">
        <v>5732.0</v>
      </c>
      <c r="G142" s="61">
        <v>4444.0</v>
      </c>
      <c r="H142" s="62">
        <v>0.1735648148148148</v>
      </c>
      <c r="I142" s="61">
        <v>78.0</v>
      </c>
      <c r="J142" s="63">
        <f t="shared" si="11"/>
        <v>3.12</v>
      </c>
      <c r="K142" s="63">
        <v>85.42</v>
      </c>
      <c r="L142" s="61" t="str">
        <f t="shared" si="12"/>
        <v>85-90</v>
      </c>
      <c r="M142" s="63">
        <v>80.36</v>
      </c>
      <c r="N142" s="63">
        <v>76.91</v>
      </c>
      <c r="O142" s="63"/>
      <c r="P142" s="63">
        <v>88.86</v>
      </c>
      <c r="Q142" s="63">
        <v>89.38</v>
      </c>
      <c r="R142" s="63">
        <v>20.0</v>
      </c>
      <c r="S142" s="63">
        <v>91.58</v>
      </c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5"/>
      <c r="AM142" s="56"/>
      <c r="AN142" s="65"/>
      <c r="AO142" s="55"/>
      <c r="AP142" s="56"/>
      <c r="AQ142" s="55"/>
      <c r="AR142" s="55"/>
    </row>
    <row r="143">
      <c r="A143" s="59" t="s">
        <v>20</v>
      </c>
      <c r="B143" s="59"/>
      <c r="C143" s="59">
        <v>43963.0</v>
      </c>
      <c r="D143" s="60" t="s">
        <v>300</v>
      </c>
      <c r="E143" s="61">
        <v>27.0</v>
      </c>
      <c r="F143" s="61">
        <v>7039.0</v>
      </c>
      <c r="G143" s="61">
        <v>5736.0</v>
      </c>
      <c r="H143" s="62">
        <v>0.21508101851851852</v>
      </c>
      <c r="I143" s="61">
        <v>75.0</v>
      </c>
      <c r="J143" s="63">
        <f t="shared" si="11"/>
        <v>2.777777778</v>
      </c>
      <c r="K143" s="63">
        <v>86.2</v>
      </c>
      <c r="L143" s="61" t="str">
        <f t="shared" si="12"/>
        <v>85-90</v>
      </c>
      <c r="M143" s="63">
        <v>83.02</v>
      </c>
      <c r="N143" s="63">
        <v>74.78</v>
      </c>
      <c r="O143" s="63"/>
      <c r="P143" s="63">
        <v>88.92</v>
      </c>
      <c r="Q143" s="63">
        <v>91.23</v>
      </c>
      <c r="R143" s="63">
        <v>10.0</v>
      </c>
      <c r="S143" s="63">
        <v>91.3</v>
      </c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5"/>
      <c r="AM143" s="56"/>
      <c r="AN143" s="65"/>
      <c r="AO143" s="55"/>
      <c r="AP143" s="56"/>
      <c r="AQ143" s="55"/>
      <c r="AR143" s="55"/>
    </row>
    <row r="144">
      <c r="A144" s="59" t="s">
        <v>20</v>
      </c>
      <c r="B144" s="59"/>
      <c r="C144" s="59">
        <v>41707.0</v>
      </c>
      <c r="D144" s="60" t="s">
        <v>301</v>
      </c>
      <c r="E144" s="61">
        <v>27.0</v>
      </c>
      <c r="F144" s="61">
        <v>4720.0</v>
      </c>
      <c r="G144" s="61">
        <v>3688.0</v>
      </c>
      <c r="H144" s="62">
        <v>0.24283564814814815</v>
      </c>
      <c r="I144" s="61">
        <v>56.0</v>
      </c>
      <c r="J144" s="63">
        <f t="shared" si="11"/>
        <v>2.074074074</v>
      </c>
      <c r="K144" s="63">
        <v>89.45</v>
      </c>
      <c r="L144" s="61" t="str">
        <f t="shared" si="12"/>
        <v>85-90</v>
      </c>
      <c r="M144" s="63">
        <v>87.11</v>
      </c>
      <c r="N144" s="63">
        <v>83.82</v>
      </c>
      <c r="O144" s="63"/>
      <c r="P144" s="63">
        <v>92.01</v>
      </c>
      <c r="Q144" s="63">
        <v>90.58</v>
      </c>
      <c r="R144" s="63">
        <v>18.46</v>
      </c>
      <c r="S144" s="63">
        <v>93.11</v>
      </c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5"/>
      <c r="AM144" s="56"/>
      <c r="AN144" s="65"/>
      <c r="AO144" s="55"/>
      <c r="AP144" s="56"/>
      <c r="AQ144" s="55"/>
      <c r="AR144" s="55"/>
    </row>
    <row r="145">
      <c r="A145" s="59" t="s">
        <v>20</v>
      </c>
      <c r="B145" s="59"/>
      <c r="C145" s="59">
        <v>44028.0</v>
      </c>
      <c r="D145" s="60" t="s">
        <v>302</v>
      </c>
      <c r="E145" s="61">
        <v>20.0</v>
      </c>
      <c r="F145" s="61">
        <v>4184.0</v>
      </c>
      <c r="G145" s="61">
        <v>2956.0</v>
      </c>
      <c r="H145" s="62">
        <v>0.20618055555555556</v>
      </c>
      <c r="I145" s="61">
        <v>60.0</v>
      </c>
      <c r="J145" s="63">
        <f t="shared" si="11"/>
        <v>3</v>
      </c>
      <c r="K145" s="63">
        <v>90.2</v>
      </c>
      <c r="L145" s="61" t="str">
        <f t="shared" si="12"/>
        <v>91-95</v>
      </c>
      <c r="M145" s="63">
        <v>85.88</v>
      </c>
      <c r="N145" s="63">
        <v>84.59</v>
      </c>
      <c r="O145" s="63"/>
      <c r="P145" s="63">
        <v>93.18</v>
      </c>
      <c r="Q145" s="63">
        <v>92.75</v>
      </c>
      <c r="R145" s="63">
        <v>6.25</v>
      </c>
      <c r="S145" s="63">
        <v>94.63</v>
      </c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5"/>
      <c r="AM145" s="56"/>
      <c r="AN145" s="65"/>
      <c r="AO145" s="55"/>
      <c r="AP145" s="56"/>
      <c r="AQ145" s="55"/>
      <c r="AR145" s="55"/>
    </row>
    <row r="146">
      <c r="A146" s="59" t="s">
        <v>20</v>
      </c>
      <c r="B146" s="59"/>
      <c r="C146" s="59" t="s">
        <v>303</v>
      </c>
      <c r="D146" s="60" t="s">
        <v>304</v>
      </c>
      <c r="E146" s="61">
        <v>25.0</v>
      </c>
      <c r="F146" s="61">
        <v>5742.0</v>
      </c>
      <c r="G146" s="61">
        <v>4552.0</v>
      </c>
      <c r="H146" s="62">
        <v>0.20039351851851853</v>
      </c>
      <c r="I146" s="61">
        <v>40.0</v>
      </c>
      <c r="J146" s="63">
        <f t="shared" si="11"/>
        <v>1.6</v>
      </c>
      <c r="K146" s="63">
        <v>86.86</v>
      </c>
      <c r="L146" s="61" t="str">
        <f t="shared" si="12"/>
        <v>85-90</v>
      </c>
      <c r="M146" s="63">
        <v>83.87</v>
      </c>
      <c r="N146" s="63">
        <v>80.45</v>
      </c>
      <c r="O146" s="63"/>
      <c r="P146" s="63">
        <v>88.42</v>
      </c>
      <c r="Q146" s="63">
        <v>88.4</v>
      </c>
      <c r="R146" s="63">
        <v>30.3</v>
      </c>
      <c r="S146" s="63">
        <v>91.13</v>
      </c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5"/>
      <c r="AM146" s="56"/>
      <c r="AN146" s="65"/>
      <c r="AO146" s="55"/>
      <c r="AP146" s="56"/>
      <c r="AQ146" s="55"/>
      <c r="AR146" s="55"/>
    </row>
    <row r="147">
      <c r="A147" s="59" t="s">
        <v>20</v>
      </c>
      <c r="B147" s="59"/>
      <c r="C147" s="59">
        <v>44164.0</v>
      </c>
      <c r="D147" s="60" t="s">
        <v>305</v>
      </c>
      <c r="E147" s="61">
        <v>26.0</v>
      </c>
      <c r="F147" s="61">
        <v>6510.0</v>
      </c>
      <c r="G147" s="61">
        <v>5020.0</v>
      </c>
      <c r="H147" s="62">
        <v>0.20528935185185185</v>
      </c>
      <c r="I147" s="61">
        <v>61.0</v>
      </c>
      <c r="J147" s="63">
        <f t="shared" si="11"/>
        <v>2.346153846</v>
      </c>
      <c r="K147" s="63">
        <v>89.83</v>
      </c>
      <c r="L147" s="61" t="str">
        <f t="shared" si="12"/>
        <v>85-90</v>
      </c>
      <c r="M147" s="63">
        <v>86.74</v>
      </c>
      <c r="N147" s="63">
        <v>83.6</v>
      </c>
      <c r="O147" s="63"/>
      <c r="P147" s="63">
        <v>92.19</v>
      </c>
      <c r="Q147" s="63">
        <v>92.57</v>
      </c>
      <c r="R147" s="63">
        <v>11.36</v>
      </c>
      <c r="S147" s="63">
        <v>94.52</v>
      </c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5"/>
      <c r="AM147" s="56"/>
      <c r="AN147" s="65"/>
      <c r="AO147" s="55"/>
      <c r="AP147" s="56"/>
      <c r="AQ147" s="55"/>
      <c r="AR147" s="55"/>
    </row>
    <row r="148">
      <c r="A148" s="59" t="s">
        <v>20</v>
      </c>
      <c r="B148" s="59"/>
      <c r="C148" s="59">
        <v>42067.0</v>
      </c>
      <c r="D148" s="60" t="s">
        <v>306</v>
      </c>
      <c r="E148" s="61">
        <v>27.0</v>
      </c>
      <c r="F148" s="61">
        <v>5996.0</v>
      </c>
      <c r="G148" s="61">
        <v>4525.0</v>
      </c>
      <c r="H148" s="62">
        <v>0.2094675925925926</v>
      </c>
      <c r="I148" s="61">
        <v>61.0</v>
      </c>
      <c r="J148" s="63">
        <f t="shared" si="11"/>
        <v>2.259259259</v>
      </c>
      <c r="K148" s="63">
        <v>89.49</v>
      </c>
      <c r="L148" s="61" t="str">
        <f t="shared" si="12"/>
        <v>85-90</v>
      </c>
      <c r="M148" s="63">
        <v>86.02</v>
      </c>
      <c r="N148" s="63">
        <v>83.22</v>
      </c>
      <c r="O148" s="63"/>
      <c r="P148" s="63">
        <v>92.24</v>
      </c>
      <c r="Q148" s="63">
        <v>92.35</v>
      </c>
      <c r="R148" s="63">
        <v>0.0</v>
      </c>
      <c r="S148" s="63">
        <v>93.49</v>
      </c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5"/>
      <c r="AM148" s="56"/>
      <c r="AN148" s="65"/>
      <c r="AO148" s="55"/>
      <c r="AP148" s="56"/>
      <c r="AQ148" s="55"/>
      <c r="AR148" s="55"/>
    </row>
    <row r="149">
      <c r="A149" s="59" t="s">
        <v>20</v>
      </c>
      <c r="B149" s="59"/>
      <c r="C149" s="59">
        <v>43879.0</v>
      </c>
      <c r="D149" s="60" t="s">
        <v>307</v>
      </c>
      <c r="E149" s="61">
        <v>28.0</v>
      </c>
      <c r="F149" s="61">
        <v>5465.0</v>
      </c>
      <c r="G149" s="61">
        <v>4055.0</v>
      </c>
      <c r="H149" s="62">
        <v>0.20769675925925926</v>
      </c>
      <c r="I149" s="61">
        <v>39.0</v>
      </c>
      <c r="J149" s="63">
        <f t="shared" si="11"/>
        <v>1.392857143</v>
      </c>
      <c r="K149" s="63">
        <v>87.69</v>
      </c>
      <c r="L149" s="61" t="str">
        <f t="shared" si="12"/>
        <v>85-90</v>
      </c>
      <c r="M149" s="63">
        <v>86.63</v>
      </c>
      <c r="N149" s="63">
        <v>83.09</v>
      </c>
      <c r="O149" s="63"/>
      <c r="P149" s="63">
        <v>90.16</v>
      </c>
      <c r="Q149" s="63">
        <v>88.89</v>
      </c>
      <c r="R149" s="63">
        <v>12.0</v>
      </c>
      <c r="S149" s="63">
        <v>92.09</v>
      </c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5"/>
      <c r="AM149" s="56"/>
      <c r="AN149" s="65"/>
      <c r="AO149" s="55"/>
      <c r="AP149" s="56"/>
      <c r="AQ149" s="55"/>
      <c r="AR149" s="55"/>
    </row>
    <row r="150">
      <c r="A150" s="59" t="s">
        <v>20</v>
      </c>
      <c r="B150" s="59"/>
      <c r="C150" s="59">
        <v>44029.0</v>
      </c>
      <c r="D150" s="60" t="s">
        <v>308</v>
      </c>
      <c r="E150" s="61">
        <v>25.0</v>
      </c>
      <c r="F150" s="61">
        <v>5580.0</v>
      </c>
      <c r="G150" s="61">
        <v>4293.0</v>
      </c>
      <c r="H150" s="62">
        <v>0.20748842592592592</v>
      </c>
      <c r="I150" s="61">
        <v>40.0</v>
      </c>
      <c r="J150" s="63">
        <f t="shared" si="11"/>
        <v>1.6</v>
      </c>
      <c r="K150" s="63">
        <v>89.82</v>
      </c>
      <c r="L150" s="61" t="str">
        <f t="shared" si="12"/>
        <v>85-90</v>
      </c>
      <c r="M150" s="63">
        <v>85.88</v>
      </c>
      <c r="N150" s="63">
        <v>83.88</v>
      </c>
      <c r="O150" s="63"/>
      <c r="P150" s="63">
        <v>92.46</v>
      </c>
      <c r="Q150" s="63">
        <v>92.84</v>
      </c>
      <c r="R150" s="63">
        <v>27.78</v>
      </c>
      <c r="S150" s="63">
        <v>94.42</v>
      </c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5"/>
      <c r="AM150" s="56"/>
      <c r="AN150" s="65"/>
      <c r="AO150" s="55"/>
      <c r="AP150" s="56"/>
      <c r="AQ150" s="55"/>
      <c r="AR150" s="55"/>
    </row>
    <row r="151">
      <c r="A151" s="59" t="s">
        <v>20</v>
      </c>
      <c r="B151" s="59"/>
      <c r="C151" s="59">
        <v>44162.0</v>
      </c>
      <c r="D151" s="60" t="s">
        <v>309</v>
      </c>
      <c r="E151" s="61">
        <v>26.0</v>
      </c>
      <c r="F151" s="61">
        <v>4869.0</v>
      </c>
      <c r="G151" s="61">
        <v>3888.0</v>
      </c>
      <c r="H151" s="62">
        <v>0.2192361111111111</v>
      </c>
      <c r="I151" s="61">
        <v>39.0</v>
      </c>
      <c r="J151" s="63">
        <f t="shared" si="11"/>
        <v>1.5</v>
      </c>
      <c r="K151" s="63">
        <v>87.1</v>
      </c>
      <c r="L151" s="61" t="str">
        <f t="shared" si="12"/>
        <v>85-90</v>
      </c>
      <c r="M151" s="63">
        <v>81.71</v>
      </c>
      <c r="N151" s="63">
        <v>81.2</v>
      </c>
      <c r="O151" s="63"/>
      <c r="P151" s="63">
        <v>90.39</v>
      </c>
      <c r="Q151" s="63">
        <v>90.81</v>
      </c>
      <c r="R151" s="63">
        <v>0.0</v>
      </c>
      <c r="S151" s="63">
        <v>92.18</v>
      </c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5"/>
      <c r="AM151" s="56"/>
      <c r="AN151" s="65"/>
      <c r="AO151" s="55"/>
      <c r="AP151" s="56"/>
      <c r="AQ151" s="55"/>
      <c r="AR151" s="55"/>
    </row>
    <row r="152">
      <c r="A152" s="59" t="s">
        <v>20</v>
      </c>
      <c r="B152" s="59"/>
      <c r="C152" s="59">
        <v>41906.0</v>
      </c>
      <c r="D152" s="60" t="s">
        <v>310</v>
      </c>
      <c r="E152" s="61">
        <v>25.0</v>
      </c>
      <c r="F152" s="61">
        <v>6083.0</v>
      </c>
      <c r="G152" s="61">
        <v>5009.0</v>
      </c>
      <c r="H152" s="62">
        <v>0.18410879629629628</v>
      </c>
      <c r="I152" s="61">
        <v>68.0</v>
      </c>
      <c r="J152" s="63">
        <f t="shared" si="11"/>
        <v>2.72</v>
      </c>
      <c r="K152" s="63">
        <v>85.94</v>
      </c>
      <c r="L152" s="61" t="str">
        <f t="shared" si="12"/>
        <v>85-90</v>
      </c>
      <c r="M152" s="63">
        <v>79.85</v>
      </c>
      <c r="N152" s="63">
        <v>76.06</v>
      </c>
      <c r="O152" s="63"/>
      <c r="P152" s="63">
        <v>89.55</v>
      </c>
      <c r="Q152" s="63">
        <v>90.84</v>
      </c>
      <c r="R152" s="63">
        <v>8.33</v>
      </c>
      <c r="S152" s="63">
        <v>91.7</v>
      </c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5"/>
      <c r="AM152" s="56"/>
      <c r="AN152" s="65"/>
      <c r="AO152" s="55"/>
      <c r="AP152" s="56"/>
      <c r="AQ152" s="55"/>
      <c r="AR152" s="55"/>
    </row>
    <row r="153">
      <c r="A153" s="59" t="s">
        <v>20</v>
      </c>
      <c r="B153" s="59"/>
      <c r="C153" s="59" t="s">
        <v>311</v>
      </c>
      <c r="D153" s="60" t="s">
        <v>312</v>
      </c>
      <c r="E153" s="61">
        <v>16.0</v>
      </c>
      <c r="F153" s="61">
        <v>4940.0</v>
      </c>
      <c r="G153" s="61">
        <v>4137.0</v>
      </c>
      <c r="H153" s="62">
        <v>0.14364583333333333</v>
      </c>
      <c r="I153" s="61">
        <v>20.0</v>
      </c>
      <c r="J153" s="63">
        <f t="shared" si="11"/>
        <v>1.25</v>
      </c>
      <c r="K153" s="63">
        <v>87.55</v>
      </c>
      <c r="L153" s="61" t="str">
        <f t="shared" si="12"/>
        <v>85-90</v>
      </c>
      <c r="M153" s="63">
        <v>82.69</v>
      </c>
      <c r="N153" s="63">
        <v>80.36</v>
      </c>
      <c r="O153" s="63"/>
      <c r="P153" s="63">
        <v>88.89</v>
      </c>
      <c r="Q153" s="63">
        <v>92.46</v>
      </c>
      <c r="R153" s="63">
        <v>25.0</v>
      </c>
      <c r="S153" s="63">
        <v>92.96</v>
      </c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5"/>
      <c r="AM153" s="56"/>
      <c r="AN153" s="65"/>
      <c r="AO153" s="55"/>
      <c r="AP153" s="56"/>
      <c r="AQ153" s="55"/>
      <c r="AR153" s="55"/>
    </row>
    <row r="154">
      <c r="A154" s="59" t="s">
        <v>20</v>
      </c>
      <c r="B154" s="59"/>
      <c r="C154" s="59">
        <v>44021.0</v>
      </c>
      <c r="D154" s="60" t="s">
        <v>313</v>
      </c>
      <c r="E154" s="61">
        <v>26.0</v>
      </c>
      <c r="F154" s="61">
        <v>5770.0</v>
      </c>
      <c r="G154" s="61">
        <v>4675.0</v>
      </c>
      <c r="H154" s="62">
        <v>0.19917824074074075</v>
      </c>
      <c r="I154" s="61">
        <v>58.0</v>
      </c>
      <c r="J154" s="63">
        <f t="shared" si="11"/>
        <v>2.230769231</v>
      </c>
      <c r="K154" s="63">
        <v>90.66</v>
      </c>
      <c r="L154" s="61" t="str">
        <f t="shared" si="12"/>
        <v>91-95</v>
      </c>
      <c r="M154" s="63">
        <v>87.08</v>
      </c>
      <c r="N154" s="63">
        <v>84.77</v>
      </c>
      <c r="O154" s="63"/>
      <c r="P154" s="63">
        <v>94.32</v>
      </c>
      <c r="Q154" s="63">
        <v>93.76</v>
      </c>
      <c r="R154" s="63">
        <v>4.17</v>
      </c>
      <c r="S154" s="63">
        <v>95.5</v>
      </c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5"/>
      <c r="AM154" s="56"/>
      <c r="AN154" s="65"/>
      <c r="AO154" s="55"/>
      <c r="AP154" s="56"/>
      <c r="AQ154" s="55"/>
      <c r="AR154" s="55"/>
    </row>
    <row r="155">
      <c r="A155" s="59" t="s">
        <v>20</v>
      </c>
      <c r="B155" s="59"/>
      <c r="C155" s="59" t="s">
        <v>314</v>
      </c>
      <c r="D155" s="60" t="s">
        <v>315</v>
      </c>
      <c r="E155" s="61">
        <v>26.0</v>
      </c>
      <c r="F155" s="61">
        <v>5567.0</v>
      </c>
      <c r="G155" s="61">
        <v>4509.0</v>
      </c>
      <c r="H155" s="62">
        <v>0.19027777777777777</v>
      </c>
      <c r="I155" s="61">
        <v>60.0</v>
      </c>
      <c r="J155" s="63">
        <f t="shared" si="11"/>
        <v>2.307692308</v>
      </c>
      <c r="K155" s="63">
        <v>89.45</v>
      </c>
      <c r="L155" s="61" t="str">
        <f t="shared" si="12"/>
        <v>85-90</v>
      </c>
      <c r="M155" s="63">
        <v>85.52</v>
      </c>
      <c r="N155" s="63">
        <v>83.65</v>
      </c>
      <c r="O155" s="63"/>
      <c r="P155" s="63">
        <v>91.76</v>
      </c>
      <c r="Q155" s="63">
        <v>92.15</v>
      </c>
      <c r="R155" s="63">
        <v>21.82</v>
      </c>
      <c r="S155" s="63">
        <v>93.72</v>
      </c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5"/>
      <c r="AM155" s="56"/>
      <c r="AN155" s="65"/>
      <c r="AO155" s="55"/>
      <c r="AP155" s="56"/>
      <c r="AQ155" s="55"/>
      <c r="AR155" s="55"/>
    </row>
    <row r="156">
      <c r="A156" s="59" t="s">
        <v>20</v>
      </c>
      <c r="B156" s="59"/>
      <c r="C156" s="59">
        <v>44041.0</v>
      </c>
      <c r="D156" s="60" t="s">
        <v>316</v>
      </c>
      <c r="E156" s="61">
        <v>27.0</v>
      </c>
      <c r="F156" s="61">
        <v>6814.0</v>
      </c>
      <c r="G156" s="61">
        <v>5384.0</v>
      </c>
      <c r="H156" s="62">
        <v>0.1952662037037037</v>
      </c>
      <c r="I156" s="61">
        <v>35.0</v>
      </c>
      <c r="J156" s="63">
        <f t="shared" si="11"/>
        <v>1.296296296</v>
      </c>
      <c r="K156" s="63">
        <v>87.43</v>
      </c>
      <c r="L156" s="61" t="str">
        <f t="shared" si="12"/>
        <v>85-90</v>
      </c>
      <c r="M156" s="63">
        <v>82.56</v>
      </c>
      <c r="N156" s="63">
        <v>80.91</v>
      </c>
      <c r="O156" s="63"/>
      <c r="P156" s="63">
        <v>89.61</v>
      </c>
      <c r="Q156" s="63">
        <v>90.55</v>
      </c>
      <c r="R156" s="63">
        <v>11.11</v>
      </c>
      <c r="S156" s="63">
        <v>92.18</v>
      </c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5"/>
      <c r="AM156" s="56"/>
      <c r="AN156" s="65"/>
      <c r="AO156" s="55"/>
      <c r="AP156" s="56"/>
      <c r="AQ156" s="55"/>
      <c r="AR156" s="55"/>
    </row>
    <row r="157">
      <c r="A157" s="59" t="s">
        <v>20</v>
      </c>
      <c r="B157" s="59"/>
      <c r="C157" s="59">
        <v>41664.0</v>
      </c>
      <c r="D157" s="60" t="s">
        <v>317</v>
      </c>
      <c r="E157" s="61">
        <v>2.0</v>
      </c>
      <c r="F157" s="61">
        <v>413.0</v>
      </c>
      <c r="G157" s="61">
        <v>327.0</v>
      </c>
      <c r="H157" s="66">
        <v>0.09502314814814815</v>
      </c>
      <c r="I157" s="61">
        <v>1.0</v>
      </c>
      <c r="J157" s="63">
        <f t="shared" si="11"/>
        <v>0.5</v>
      </c>
      <c r="K157" s="63">
        <v>95.35</v>
      </c>
      <c r="L157" s="61" t="str">
        <f t="shared" si="12"/>
        <v>G95%</v>
      </c>
      <c r="M157" s="63">
        <v>98.39</v>
      </c>
      <c r="N157" s="63">
        <v>90.0</v>
      </c>
      <c r="O157" s="63"/>
      <c r="P157" s="63">
        <v>95.45</v>
      </c>
      <c r="Q157" s="63">
        <v>95.54</v>
      </c>
      <c r="R157" s="63"/>
      <c r="S157" s="63">
        <v>97.5</v>
      </c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5"/>
      <c r="AM157" s="56"/>
      <c r="AN157" s="65"/>
      <c r="AO157" s="55"/>
      <c r="AP157" s="56"/>
      <c r="AQ157" s="55"/>
      <c r="AR157" s="55"/>
    </row>
    <row r="158">
      <c r="A158" s="59" t="s">
        <v>20</v>
      </c>
      <c r="B158" s="59"/>
      <c r="C158" s="59">
        <v>43274.0</v>
      </c>
      <c r="D158" s="60" t="s">
        <v>318</v>
      </c>
      <c r="E158" s="61">
        <v>28.0</v>
      </c>
      <c r="F158" s="61">
        <v>3087.0</v>
      </c>
      <c r="G158" s="61">
        <v>1359.0</v>
      </c>
      <c r="H158" s="62">
        <v>0.10612268518518518</v>
      </c>
      <c r="I158" s="61">
        <v>180.0</v>
      </c>
      <c r="J158" s="63">
        <f t="shared" si="11"/>
        <v>6.428571429</v>
      </c>
      <c r="K158" s="63">
        <v>86.1</v>
      </c>
      <c r="L158" s="61" t="str">
        <f t="shared" si="12"/>
        <v>85-90</v>
      </c>
      <c r="M158" s="63">
        <v>76.19</v>
      </c>
      <c r="N158" s="63">
        <v>81.85</v>
      </c>
      <c r="O158" s="63"/>
      <c r="P158" s="63">
        <v>90.93</v>
      </c>
      <c r="Q158" s="63">
        <v>91.12</v>
      </c>
      <c r="R158" s="63">
        <v>0.0</v>
      </c>
      <c r="S158" s="63">
        <v>92.3</v>
      </c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5"/>
      <c r="AM158" s="56"/>
      <c r="AN158" s="65"/>
      <c r="AO158" s="55"/>
      <c r="AP158" s="56"/>
      <c r="AQ158" s="55"/>
      <c r="AR158" s="55"/>
    </row>
    <row r="159">
      <c r="A159" s="59" t="s">
        <v>20</v>
      </c>
      <c r="B159" s="59"/>
      <c r="C159" s="59">
        <v>43865.0</v>
      </c>
      <c r="D159" s="60" t="s">
        <v>319</v>
      </c>
      <c r="E159" s="61">
        <v>27.0</v>
      </c>
      <c r="F159" s="61">
        <v>6186.0</v>
      </c>
      <c r="G159" s="61">
        <v>5194.0</v>
      </c>
      <c r="H159" s="62">
        <v>0.18203703703703702</v>
      </c>
      <c r="I159" s="61">
        <v>48.0</v>
      </c>
      <c r="J159" s="63">
        <f t="shared" si="11"/>
        <v>1.777777778</v>
      </c>
      <c r="K159" s="63">
        <v>87.09</v>
      </c>
      <c r="L159" s="61" t="str">
        <f t="shared" si="12"/>
        <v>85-90</v>
      </c>
      <c r="M159" s="63">
        <v>83.01</v>
      </c>
      <c r="N159" s="63">
        <v>80.96</v>
      </c>
      <c r="O159" s="63"/>
      <c r="P159" s="63">
        <v>89.75</v>
      </c>
      <c r="Q159" s="63">
        <v>91.04</v>
      </c>
      <c r="R159" s="63">
        <v>0.89</v>
      </c>
      <c r="S159" s="63">
        <v>92.28</v>
      </c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5"/>
      <c r="AM159" s="56"/>
      <c r="AN159" s="65"/>
      <c r="AO159" s="55"/>
      <c r="AP159" s="56"/>
      <c r="AQ159" s="55"/>
      <c r="AR159" s="55"/>
    </row>
    <row r="160">
      <c r="A160" s="59" t="s">
        <v>20</v>
      </c>
      <c r="B160" s="59"/>
      <c r="C160" s="59">
        <v>44160.0</v>
      </c>
      <c r="D160" s="60" t="s">
        <v>320</v>
      </c>
      <c r="E160" s="61">
        <v>27.0</v>
      </c>
      <c r="F160" s="61">
        <v>6811.0</v>
      </c>
      <c r="G160" s="61">
        <v>5333.0</v>
      </c>
      <c r="H160" s="62">
        <v>0.2078587962962963</v>
      </c>
      <c r="I160" s="61">
        <v>58.0</v>
      </c>
      <c r="J160" s="63">
        <f t="shared" si="11"/>
        <v>2.148148148</v>
      </c>
      <c r="K160" s="63">
        <v>88.53</v>
      </c>
      <c r="L160" s="61" t="str">
        <f t="shared" si="12"/>
        <v>85-90</v>
      </c>
      <c r="M160" s="63">
        <v>83.82</v>
      </c>
      <c r="N160" s="63">
        <v>80.1</v>
      </c>
      <c r="O160" s="63"/>
      <c r="P160" s="63">
        <v>91.81</v>
      </c>
      <c r="Q160" s="63">
        <v>92.45</v>
      </c>
      <c r="R160" s="63">
        <v>5.0</v>
      </c>
      <c r="S160" s="63">
        <v>93.96</v>
      </c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5"/>
      <c r="AM160" s="56"/>
      <c r="AN160" s="65"/>
      <c r="AO160" s="55"/>
      <c r="AP160" s="56"/>
      <c r="AQ160" s="55"/>
      <c r="AR160" s="55"/>
    </row>
    <row r="161">
      <c r="A161" s="59" t="s">
        <v>20</v>
      </c>
      <c r="B161" s="59"/>
      <c r="C161" s="59">
        <v>42700.0</v>
      </c>
      <c r="D161" s="60" t="s">
        <v>321</v>
      </c>
      <c r="E161" s="61">
        <v>26.0</v>
      </c>
      <c r="F161" s="61">
        <v>6830.0</v>
      </c>
      <c r="G161" s="61">
        <v>5042.0</v>
      </c>
      <c r="H161" s="62">
        <v>0.18789351851851852</v>
      </c>
      <c r="I161" s="61">
        <v>55.0</v>
      </c>
      <c r="J161" s="63">
        <f t="shared" si="11"/>
        <v>2.115384615</v>
      </c>
      <c r="K161" s="63">
        <v>87.98</v>
      </c>
      <c r="L161" s="61" t="str">
        <f t="shared" si="12"/>
        <v>85-90</v>
      </c>
      <c r="M161" s="63">
        <v>82.93</v>
      </c>
      <c r="N161" s="63">
        <v>81.41</v>
      </c>
      <c r="O161" s="63"/>
      <c r="P161" s="63">
        <v>90.24</v>
      </c>
      <c r="Q161" s="63">
        <v>92.07</v>
      </c>
      <c r="R161" s="63">
        <v>6.67</v>
      </c>
      <c r="S161" s="63">
        <v>92.71</v>
      </c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5"/>
      <c r="AM161" s="56"/>
      <c r="AN161" s="65"/>
      <c r="AO161" s="55"/>
      <c r="AP161" s="56"/>
      <c r="AQ161" s="55"/>
      <c r="AR161" s="55"/>
    </row>
    <row r="162">
      <c r="A162" s="59" t="s">
        <v>20</v>
      </c>
      <c r="B162" s="59"/>
      <c r="C162" s="59">
        <v>41902.0</v>
      </c>
      <c r="D162" s="60" t="s">
        <v>322</v>
      </c>
      <c r="E162" s="61">
        <v>26.0</v>
      </c>
      <c r="F162" s="61">
        <v>5459.0</v>
      </c>
      <c r="G162" s="61">
        <v>4476.0</v>
      </c>
      <c r="H162" s="62">
        <v>0.17802083333333332</v>
      </c>
      <c r="I162" s="61">
        <v>86.0</v>
      </c>
      <c r="J162" s="63">
        <f t="shared" si="11"/>
        <v>3.307692308</v>
      </c>
      <c r="K162" s="63">
        <v>87.0</v>
      </c>
      <c r="L162" s="61" t="str">
        <f t="shared" si="12"/>
        <v>85-90</v>
      </c>
      <c r="M162" s="63">
        <v>81.65</v>
      </c>
      <c r="N162" s="63">
        <v>81.35</v>
      </c>
      <c r="O162" s="63"/>
      <c r="P162" s="63">
        <v>90.07</v>
      </c>
      <c r="Q162" s="63">
        <v>90.53</v>
      </c>
      <c r="R162" s="63">
        <v>14.29</v>
      </c>
      <c r="S162" s="63">
        <v>92.5</v>
      </c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5"/>
      <c r="AM162" s="56"/>
      <c r="AN162" s="65"/>
      <c r="AO162" s="55"/>
      <c r="AP162" s="56"/>
      <c r="AQ162" s="55"/>
      <c r="AR162" s="55"/>
    </row>
    <row r="163">
      <c r="A163" s="59" t="s">
        <v>20</v>
      </c>
      <c r="B163" s="59"/>
      <c r="C163" s="59">
        <v>43283.0</v>
      </c>
      <c r="D163" s="60" t="s">
        <v>323</v>
      </c>
      <c r="E163" s="61">
        <v>25.0</v>
      </c>
      <c r="F163" s="61">
        <v>6165.0</v>
      </c>
      <c r="G163" s="61">
        <v>4696.0</v>
      </c>
      <c r="H163" s="62">
        <v>0.17288194444444444</v>
      </c>
      <c r="I163" s="61">
        <v>64.0</v>
      </c>
      <c r="J163" s="63">
        <f t="shared" si="11"/>
        <v>2.56</v>
      </c>
      <c r="K163" s="63">
        <v>87.94</v>
      </c>
      <c r="L163" s="61" t="str">
        <f t="shared" si="12"/>
        <v>85-90</v>
      </c>
      <c r="M163" s="63">
        <v>82.86</v>
      </c>
      <c r="N163" s="63">
        <v>84.09</v>
      </c>
      <c r="O163" s="63"/>
      <c r="P163" s="63">
        <v>89.75</v>
      </c>
      <c r="Q163" s="63">
        <v>90.94</v>
      </c>
      <c r="R163" s="63">
        <v>8.33</v>
      </c>
      <c r="S163" s="63">
        <v>92.3</v>
      </c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5"/>
      <c r="AM163" s="56"/>
      <c r="AN163" s="65"/>
      <c r="AO163" s="55"/>
      <c r="AP163" s="56"/>
      <c r="AQ163" s="55"/>
      <c r="AR163" s="55"/>
    </row>
    <row r="164">
      <c r="A164" s="59" t="s">
        <v>20</v>
      </c>
      <c r="B164" s="59"/>
      <c r="C164" s="59" t="s">
        <v>324</v>
      </c>
      <c r="D164" s="60" t="s">
        <v>325</v>
      </c>
      <c r="E164" s="61">
        <v>1.0</v>
      </c>
      <c r="F164" s="61">
        <v>80.0</v>
      </c>
      <c r="G164" s="61">
        <v>47.0</v>
      </c>
      <c r="H164" s="66">
        <v>0.05075231481481481</v>
      </c>
      <c r="I164" s="61">
        <v>2.0</v>
      </c>
      <c r="J164" s="63">
        <f t="shared" si="11"/>
        <v>2</v>
      </c>
      <c r="K164" s="63">
        <v>95.8</v>
      </c>
      <c r="L164" s="61" t="str">
        <f t="shared" si="12"/>
        <v>G95%</v>
      </c>
      <c r="M164" s="63">
        <v>97.5</v>
      </c>
      <c r="N164" s="63">
        <v>93.33</v>
      </c>
      <c r="O164" s="63"/>
      <c r="P164" s="63">
        <v>95.83</v>
      </c>
      <c r="Q164" s="63">
        <v>94.17</v>
      </c>
      <c r="R164" s="63"/>
      <c r="S164" s="63">
        <v>98.33</v>
      </c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5"/>
      <c r="AM164" s="56"/>
      <c r="AN164" s="65"/>
      <c r="AO164" s="55"/>
      <c r="AP164" s="56"/>
      <c r="AQ164" s="55"/>
      <c r="AR164" s="55"/>
    </row>
    <row r="165">
      <c r="A165" s="59" t="s">
        <v>20</v>
      </c>
      <c r="B165" s="59"/>
      <c r="C165" s="59">
        <v>42366.0</v>
      </c>
      <c r="D165" s="60" t="s">
        <v>326</v>
      </c>
      <c r="E165" s="61">
        <v>27.0</v>
      </c>
      <c r="F165" s="61">
        <v>7627.0</v>
      </c>
      <c r="G165" s="61">
        <v>5850.0</v>
      </c>
      <c r="H165" s="62">
        <v>0.17349537037037038</v>
      </c>
      <c r="I165" s="61">
        <v>82.0</v>
      </c>
      <c r="J165" s="63">
        <f t="shared" si="11"/>
        <v>3.037037037</v>
      </c>
      <c r="K165" s="63">
        <v>85.94</v>
      </c>
      <c r="L165" s="61" t="str">
        <f t="shared" si="12"/>
        <v>85-90</v>
      </c>
      <c r="M165" s="63">
        <v>83.1</v>
      </c>
      <c r="N165" s="63">
        <v>77.83</v>
      </c>
      <c r="O165" s="63"/>
      <c r="P165" s="63">
        <v>88.65</v>
      </c>
      <c r="Q165" s="63">
        <v>90.17</v>
      </c>
      <c r="R165" s="63">
        <v>11.11</v>
      </c>
      <c r="S165" s="63">
        <v>91.22</v>
      </c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5"/>
      <c r="AM165" s="56"/>
      <c r="AN165" s="65"/>
      <c r="AO165" s="55"/>
      <c r="AP165" s="56"/>
      <c r="AQ165" s="55"/>
      <c r="AR165" s="55"/>
    </row>
    <row r="166">
      <c r="A166" s="59" t="s">
        <v>20</v>
      </c>
      <c r="B166" s="59"/>
      <c r="C166" s="59" t="s">
        <v>327</v>
      </c>
      <c r="D166" s="60" t="s">
        <v>328</v>
      </c>
      <c r="E166" s="61">
        <v>20.0</v>
      </c>
      <c r="F166" s="61">
        <v>3904.0</v>
      </c>
      <c r="G166" s="61">
        <v>3008.0</v>
      </c>
      <c r="H166" s="62">
        <v>0.1916087962962963</v>
      </c>
      <c r="I166" s="61">
        <v>47.0</v>
      </c>
      <c r="J166" s="63">
        <f t="shared" si="11"/>
        <v>2.35</v>
      </c>
      <c r="K166" s="63">
        <v>85.93</v>
      </c>
      <c r="L166" s="61" t="str">
        <f t="shared" si="12"/>
        <v>85-90</v>
      </c>
      <c r="M166" s="63">
        <v>79.72</v>
      </c>
      <c r="N166" s="63">
        <v>82.18</v>
      </c>
      <c r="O166" s="63"/>
      <c r="P166" s="63">
        <v>87.6</v>
      </c>
      <c r="Q166" s="63">
        <v>89.51</v>
      </c>
      <c r="R166" s="63">
        <v>12.5</v>
      </c>
      <c r="S166" s="63">
        <v>90.94</v>
      </c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5"/>
      <c r="AM166" s="56"/>
      <c r="AN166" s="65"/>
      <c r="AO166" s="55"/>
      <c r="AP166" s="56"/>
      <c r="AQ166" s="55"/>
      <c r="AR166" s="55"/>
    </row>
    <row r="167">
      <c r="A167" s="59" t="s">
        <v>20</v>
      </c>
      <c r="B167" s="59"/>
      <c r="C167" s="59">
        <v>43867.0</v>
      </c>
      <c r="D167" s="60" t="s">
        <v>329</v>
      </c>
      <c r="E167" s="61">
        <v>26.0</v>
      </c>
      <c r="F167" s="61">
        <v>7028.0</v>
      </c>
      <c r="G167" s="61">
        <v>5826.0</v>
      </c>
      <c r="H167" s="62">
        <v>0.19140046296296295</v>
      </c>
      <c r="I167" s="61">
        <v>64.0</v>
      </c>
      <c r="J167" s="63">
        <f t="shared" si="11"/>
        <v>2.461538462</v>
      </c>
      <c r="K167" s="63">
        <v>87.12</v>
      </c>
      <c r="L167" s="61" t="str">
        <f t="shared" si="12"/>
        <v>85-90</v>
      </c>
      <c r="M167" s="63">
        <v>81.52</v>
      </c>
      <c r="N167" s="63">
        <v>77.83</v>
      </c>
      <c r="O167" s="63"/>
      <c r="P167" s="63">
        <v>90.5</v>
      </c>
      <c r="Q167" s="63">
        <v>91.3</v>
      </c>
      <c r="R167" s="63">
        <v>25.0</v>
      </c>
      <c r="S167" s="63">
        <v>92.94</v>
      </c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5"/>
      <c r="AM167" s="56"/>
      <c r="AN167" s="65"/>
      <c r="AO167" s="55"/>
      <c r="AP167" s="56"/>
      <c r="AQ167" s="55"/>
      <c r="AR167" s="55"/>
    </row>
    <row r="168">
      <c r="A168" s="59" t="s">
        <v>20</v>
      </c>
      <c r="B168" s="59"/>
      <c r="C168" s="59">
        <v>43910.0</v>
      </c>
      <c r="D168" s="60" t="s">
        <v>330</v>
      </c>
      <c r="E168" s="61">
        <v>27.0</v>
      </c>
      <c r="F168" s="61">
        <v>5264.0</v>
      </c>
      <c r="G168" s="61">
        <v>4149.0</v>
      </c>
      <c r="H168" s="62">
        <v>0.15914351851851852</v>
      </c>
      <c r="I168" s="61">
        <v>94.0</v>
      </c>
      <c r="J168" s="63">
        <f t="shared" si="11"/>
        <v>3.481481481</v>
      </c>
      <c r="K168" s="63">
        <v>87.88</v>
      </c>
      <c r="L168" s="61" t="str">
        <f t="shared" si="12"/>
        <v>85-90</v>
      </c>
      <c r="M168" s="63">
        <v>82.94</v>
      </c>
      <c r="N168" s="63">
        <v>81.89</v>
      </c>
      <c r="O168" s="63"/>
      <c r="P168" s="63">
        <v>90.44</v>
      </c>
      <c r="Q168" s="63">
        <v>91.64</v>
      </c>
      <c r="R168" s="63">
        <v>0.0</v>
      </c>
      <c r="S168" s="63">
        <v>93.27</v>
      </c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5"/>
      <c r="AM168" s="56"/>
      <c r="AN168" s="65"/>
      <c r="AO168" s="55"/>
      <c r="AP168" s="56"/>
      <c r="AQ168" s="55"/>
      <c r="AR168" s="55"/>
    </row>
    <row r="169">
      <c r="A169" s="65"/>
      <c r="B169" s="65"/>
      <c r="C169" s="65"/>
      <c r="D169" s="65"/>
      <c r="E169" s="65"/>
      <c r="F169" s="65"/>
      <c r="G169" s="65"/>
      <c r="H169" s="65"/>
      <c r="I169" s="67"/>
      <c r="J169" s="65"/>
      <c r="K169" s="67"/>
      <c r="L169" s="67"/>
      <c r="M169" s="65"/>
      <c r="N169" s="65"/>
      <c r="O169" s="65"/>
      <c r="P169" s="65"/>
      <c r="Q169" s="65"/>
      <c r="R169" s="65"/>
      <c r="S169" s="65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5"/>
      <c r="AM169" s="56"/>
      <c r="AN169" s="65"/>
      <c r="AO169" s="55"/>
      <c r="AP169" s="56"/>
      <c r="AQ169" s="55"/>
      <c r="AR169" s="55"/>
    </row>
    <row r="170">
      <c r="A170" s="54" t="s">
        <v>1</v>
      </c>
      <c r="B170" s="54" t="s">
        <v>34</v>
      </c>
      <c r="C170" s="54" t="s">
        <v>35</v>
      </c>
      <c r="D170" s="54" t="s">
        <v>36</v>
      </c>
      <c r="E170" s="54" t="s">
        <v>37</v>
      </c>
      <c r="F170" s="54" t="s">
        <v>38</v>
      </c>
      <c r="G170" s="54" t="s">
        <v>39</v>
      </c>
      <c r="H170" s="54" t="s">
        <v>40</v>
      </c>
      <c r="I170" s="54" t="s">
        <v>41</v>
      </c>
      <c r="J170" s="54" t="s">
        <v>42</v>
      </c>
      <c r="K170" s="54" t="s">
        <v>245</v>
      </c>
      <c r="L170" s="54" t="s">
        <v>43</v>
      </c>
      <c r="M170" s="54" t="s">
        <v>246</v>
      </c>
      <c r="N170" s="54" t="s">
        <v>247</v>
      </c>
      <c r="O170" s="54" t="s">
        <v>44</v>
      </c>
      <c r="P170" s="54" t="s">
        <v>248</v>
      </c>
      <c r="Q170" s="54" t="s">
        <v>249</v>
      </c>
      <c r="R170" s="54" t="s">
        <v>250</v>
      </c>
      <c r="S170" s="54" t="s">
        <v>251</v>
      </c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 t="s">
        <v>53</v>
      </c>
      <c r="AE170" s="57" t="s">
        <v>53</v>
      </c>
      <c r="AF170" s="56"/>
      <c r="AG170" s="57" t="s">
        <v>53</v>
      </c>
      <c r="AH170" s="57" t="s">
        <v>53</v>
      </c>
      <c r="AI170" s="57" t="s">
        <v>53</v>
      </c>
      <c r="AJ170" s="57" t="s">
        <v>53</v>
      </c>
      <c r="AK170" s="56"/>
      <c r="AL170" s="55"/>
      <c r="AM170" s="57" t="s">
        <v>53</v>
      </c>
      <c r="AN170" s="65"/>
      <c r="AO170" s="55"/>
      <c r="AP170" s="56"/>
      <c r="AQ170" s="55"/>
      <c r="AR170" s="55"/>
    </row>
    <row r="171">
      <c r="A171" s="59" t="s">
        <v>19</v>
      </c>
      <c r="B171" s="59"/>
      <c r="C171" s="59">
        <v>43310.0</v>
      </c>
      <c r="D171" s="60" t="s">
        <v>331</v>
      </c>
      <c r="E171" s="61">
        <v>28.0</v>
      </c>
      <c r="F171" s="61">
        <v>9756.0</v>
      </c>
      <c r="G171" s="61">
        <v>7775.0</v>
      </c>
      <c r="H171" s="62">
        <v>0.15730324074074073</v>
      </c>
      <c r="I171" s="61">
        <v>995.0</v>
      </c>
      <c r="J171" s="63">
        <f t="shared" ref="J171:J197" si="15">I171/E171</f>
        <v>35.53571429</v>
      </c>
      <c r="K171" s="63">
        <v>82.26</v>
      </c>
      <c r="L171" s="61" t="str">
        <f t="shared" ref="L171:L197" si="16">IF(K171&lt;80,"L80",IF(K171&lt;=85,"81-85",IF(K171&lt;=90,"85-90",IF(K171&lt;=95,"91-95","G95%"))))</f>
        <v>81-85</v>
      </c>
      <c r="M171" s="63">
        <v>69.52</v>
      </c>
      <c r="N171" s="63">
        <v>77.08</v>
      </c>
      <c r="O171" s="63"/>
      <c r="P171" s="63">
        <v>87.42</v>
      </c>
      <c r="Q171" s="63">
        <v>90.78</v>
      </c>
      <c r="R171" s="63">
        <v>12.86</v>
      </c>
      <c r="S171" s="63">
        <v>90.1</v>
      </c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>
        <f t="shared" ref="AD171:AE171" si="13">CORREL(M171:M197,$J$171:$J$197)</f>
        <v>0.5661098977</v>
      </c>
      <c r="AE171" s="58">
        <f t="shared" si="13"/>
        <v>0.537523577</v>
      </c>
      <c r="AF171" s="58"/>
      <c r="AG171" s="58">
        <f t="shared" ref="AG171:AJ171" si="14">CORREL(P171:P197,$J$171:$J$197)</f>
        <v>0.4820928216</v>
      </c>
      <c r="AH171" s="58">
        <f t="shared" si="14"/>
        <v>0.3860858233</v>
      </c>
      <c r="AI171" s="58">
        <f t="shared" si="14"/>
        <v>-0.3672422517</v>
      </c>
      <c r="AJ171" s="58">
        <f t="shared" si="14"/>
        <v>0.5883067443</v>
      </c>
      <c r="AK171" s="56"/>
      <c r="AL171" s="55"/>
      <c r="AM171" s="58">
        <f>CORREL(J171:J197,K171:K197)</f>
        <v>0.572060725</v>
      </c>
      <c r="AN171" s="65"/>
      <c r="AO171" s="55"/>
      <c r="AP171" s="56"/>
      <c r="AQ171" s="55"/>
      <c r="AR171" s="55"/>
    </row>
    <row r="172">
      <c r="A172" s="59" t="s">
        <v>19</v>
      </c>
      <c r="B172" s="59"/>
      <c r="C172" s="59">
        <v>44072.0</v>
      </c>
      <c r="D172" s="60" t="s">
        <v>332</v>
      </c>
      <c r="E172" s="61">
        <v>27.0</v>
      </c>
      <c r="F172" s="61">
        <v>8947.0</v>
      </c>
      <c r="G172" s="61">
        <v>6333.0</v>
      </c>
      <c r="H172" s="62">
        <v>0.15016203703703704</v>
      </c>
      <c r="I172" s="61">
        <v>819.0</v>
      </c>
      <c r="J172" s="63">
        <f t="shared" si="15"/>
        <v>30.33333333</v>
      </c>
      <c r="K172" s="63">
        <v>83.15</v>
      </c>
      <c r="L172" s="61" t="str">
        <f t="shared" si="16"/>
        <v>81-85</v>
      </c>
      <c r="M172" s="63">
        <v>71.37</v>
      </c>
      <c r="N172" s="63">
        <v>77.62</v>
      </c>
      <c r="O172" s="63"/>
      <c r="P172" s="63">
        <v>89.63</v>
      </c>
      <c r="Q172" s="63">
        <v>91.52</v>
      </c>
      <c r="R172" s="63">
        <v>12.5</v>
      </c>
      <c r="S172" s="63">
        <v>92.02</v>
      </c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5"/>
      <c r="AM172" s="56"/>
      <c r="AN172" s="65"/>
      <c r="AO172" s="55"/>
      <c r="AP172" s="56"/>
      <c r="AQ172" s="55"/>
      <c r="AR172" s="55"/>
    </row>
    <row r="173">
      <c r="A173" s="59" t="s">
        <v>19</v>
      </c>
      <c r="B173" s="59"/>
      <c r="C173" s="59" t="s">
        <v>333</v>
      </c>
      <c r="D173" s="60" t="s">
        <v>334</v>
      </c>
      <c r="E173" s="61">
        <v>26.0</v>
      </c>
      <c r="F173" s="61">
        <v>8394.0</v>
      </c>
      <c r="G173" s="61">
        <v>7031.0</v>
      </c>
      <c r="H173" s="62">
        <v>0.14425925925925925</v>
      </c>
      <c r="I173" s="61">
        <v>868.0</v>
      </c>
      <c r="J173" s="63">
        <f t="shared" si="15"/>
        <v>33.38461538</v>
      </c>
      <c r="K173" s="63">
        <v>83.27</v>
      </c>
      <c r="L173" s="61" t="str">
        <f t="shared" si="16"/>
        <v>81-85</v>
      </c>
      <c r="M173" s="63">
        <v>71.37</v>
      </c>
      <c r="N173" s="63">
        <v>77.56</v>
      </c>
      <c r="O173" s="63"/>
      <c r="P173" s="63">
        <v>89.68</v>
      </c>
      <c r="Q173" s="63">
        <v>92.64</v>
      </c>
      <c r="R173" s="63">
        <v>0.0</v>
      </c>
      <c r="S173" s="63">
        <v>91.47</v>
      </c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5"/>
      <c r="AM173" s="56"/>
      <c r="AN173" s="65"/>
      <c r="AO173" s="55"/>
      <c r="AP173" s="56"/>
      <c r="AQ173" s="55"/>
      <c r="AR173" s="55"/>
    </row>
    <row r="174">
      <c r="A174" s="59" t="s">
        <v>19</v>
      </c>
      <c r="B174" s="59"/>
      <c r="C174" s="59">
        <v>42863.0</v>
      </c>
      <c r="D174" s="60" t="s">
        <v>335</v>
      </c>
      <c r="E174" s="61">
        <v>24.0</v>
      </c>
      <c r="F174" s="61">
        <v>7224.0</v>
      </c>
      <c r="G174" s="61">
        <v>5668.0</v>
      </c>
      <c r="H174" s="62">
        <v>0.1554976851851852</v>
      </c>
      <c r="I174" s="61">
        <v>749.0</v>
      </c>
      <c r="J174" s="63">
        <f t="shared" si="15"/>
        <v>31.20833333</v>
      </c>
      <c r="K174" s="63">
        <v>83.39</v>
      </c>
      <c r="L174" s="61" t="str">
        <f t="shared" si="16"/>
        <v>81-85</v>
      </c>
      <c r="M174" s="63">
        <v>75.01</v>
      </c>
      <c r="N174" s="63">
        <v>83.21</v>
      </c>
      <c r="O174" s="63"/>
      <c r="P174" s="63">
        <v>86.05</v>
      </c>
      <c r="Q174" s="63">
        <v>90.64</v>
      </c>
      <c r="R174" s="63"/>
      <c r="S174" s="63">
        <v>90.66</v>
      </c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5"/>
      <c r="AM174" s="56"/>
      <c r="AN174" s="65"/>
      <c r="AO174" s="55"/>
      <c r="AP174" s="56"/>
      <c r="AQ174" s="55"/>
      <c r="AR174" s="55"/>
    </row>
    <row r="175">
      <c r="A175" s="59" t="s">
        <v>19</v>
      </c>
      <c r="B175" s="59"/>
      <c r="C175" s="59" t="s">
        <v>336</v>
      </c>
      <c r="D175" s="60" t="s">
        <v>337</v>
      </c>
      <c r="E175" s="61">
        <v>26.0</v>
      </c>
      <c r="F175" s="61">
        <v>9125.0</v>
      </c>
      <c r="G175" s="61">
        <v>7353.0</v>
      </c>
      <c r="H175" s="62">
        <v>0.13662037037037036</v>
      </c>
      <c r="I175" s="61">
        <v>763.0</v>
      </c>
      <c r="J175" s="63">
        <f t="shared" si="15"/>
        <v>29.34615385</v>
      </c>
      <c r="K175" s="63">
        <v>83.45</v>
      </c>
      <c r="L175" s="61" t="str">
        <f t="shared" si="16"/>
        <v>81-85</v>
      </c>
      <c r="M175" s="63">
        <v>73.8</v>
      </c>
      <c r="N175" s="63">
        <v>79.57</v>
      </c>
      <c r="O175" s="63"/>
      <c r="P175" s="63">
        <v>87.09</v>
      </c>
      <c r="Q175" s="63">
        <v>90.66</v>
      </c>
      <c r="R175" s="63">
        <v>17.31</v>
      </c>
      <c r="S175" s="63">
        <v>90.52</v>
      </c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5"/>
      <c r="AM175" s="56"/>
      <c r="AN175" s="65"/>
      <c r="AO175" s="55"/>
      <c r="AP175" s="56"/>
      <c r="AQ175" s="55"/>
      <c r="AR175" s="55"/>
    </row>
    <row r="176">
      <c r="A176" s="59" t="s">
        <v>19</v>
      </c>
      <c r="B176" s="59"/>
      <c r="C176" s="59">
        <v>10112.0</v>
      </c>
      <c r="D176" s="60" t="s">
        <v>338</v>
      </c>
      <c r="E176" s="61">
        <v>23.0</v>
      </c>
      <c r="F176" s="61">
        <v>7391.0</v>
      </c>
      <c r="G176" s="61">
        <v>5840.0</v>
      </c>
      <c r="H176" s="62">
        <v>0.16091435185185185</v>
      </c>
      <c r="I176" s="61">
        <v>812.0</v>
      </c>
      <c r="J176" s="63">
        <f t="shared" si="15"/>
        <v>35.30434783</v>
      </c>
      <c r="K176" s="63">
        <v>83.84</v>
      </c>
      <c r="L176" s="61" t="str">
        <f t="shared" si="16"/>
        <v>81-85</v>
      </c>
      <c r="M176" s="63">
        <v>71.0</v>
      </c>
      <c r="N176" s="63">
        <v>79.08</v>
      </c>
      <c r="O176" s="63"/>
      <c r="P176" s="63">
        <v>89.02</v>
      </c>
      <c r="Q176" s="63">
        <v>91.51</v>
      </c>
      <c r="R176" s="63">
        <v>18.33</v>
      </c>
      <c r="S176" s="63">
        <v>91.22</v>
      </c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5"/>
      <c r="AM176" s="56"/>
      <c r="AN176" s="65"/>
      <c r="AO176" s="55"/>
      <c r="AP176" s="56"/>
      <c r="AQ176" s="55"/>
      <c r="AR176" s="55"/>
    </row>
    <row r="177">
      <c r="A177" s="59" t="s">
        <v>19</v>
      </c>
      <c r="B177" s="59"/>
      <c r="C177" s="59">
        <v>44027.0</v>
      </c>
      <c r="D177" s="60" t="s">
        <v>339</v>
      </c>
      <c r="E177" s="61">
        <v>25.0</v>
      </c>
      <c r="F177" s="61">
        <v>7168.0</v>
      </c>
      <c r="G177" s="61">
        <v>5603.0</v>
      </c>
      <c r="H177" s="62">
        <v>0.14337962962962963</v>
      </c>
      <c r="I177" s="61">
        <v>850.0</v>
      </c>
      <c r="J177" s="63">
        <f t="shared" si="15"/>
        <v>34</v>
      </c>
      <c r="K177" s="63">
        <v>83.88</v>
      </c>
      <c r="L177" s="61" t="str">
        <f t="shared" si="16"/>
        <v>81-85</v>
      </c>
      <c r="M177" s="63">
        <v>74.12</v>
      </c>
      <c r="N177" s="63">
        <v>78.33</v>
      </c>
      <c r="O177" s="63"/>
      <c r="P177" s="63">
        <v>88.38</v>
      </c>
      <c r="Q177" s="63">
        <v>90.42</v>
      </c>
      <c r="R177" s="63">
        <v>0.0</v>
      </c>
      <c r="S177" s="63">
        <v>90.95</v>
      </c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5"/>
      <c r="AM177" s="56"/>
      <c r="AN177" s="65"/>
      <c r="AO177" s="55"/>
      <c r="AP177" s="56"/>
      <c r="AQ177" s="55"/>
      <c r="AR177" s="55"/>
    </row>
    <row r="178">
      <c r="A178" s="59" t="s">
        <v>19</v>
      </c>
      <c r="B178" s="59"/>
      <c r="C178" s="59">
        <v>42372.0</v>
      </c>
      <c r="D178" s="60" t="s">
        <v>340</v>
      </c>
      <c r="E178" s="61">
        <v>24.0</v>
      </c>
      <c r="F178" s="61">
        <v>6490.0</v>
      </c>
      <c r="G178" s="61">
        <v>5308.0</v>
      </c>
      <c r="H178" s="62">
        <v>0.14592592592592593</v>
      </c>
      <c r="I178" s="61">
        <v>526.0</v>
      </c>
      <c r="J178" s="63">
        <f t="shared" si="15"/>
        <v>21.91666667</v>
      </c>
      <c r="K178" s="63">
        <v>83.98</v>
      </c>
      <c r="L178" s="61" t="str">
        <f t="shared" si="16"/>
        <v>81-85</v>
      </c>
      <c r="M178" s="63">
        <v>72.62</v>
      </c>
      <c r="N178" s="63">
        <v>78.39</v>
      </c>
      <c r="O178" s="63"/>
      <c r="P178" s="63">
        <v>87.77</v>
      </c>
      <c r="Q178" s="63">
        <v>89.4</v>
      </c>
      <c r="R178" s="63">
        <v>0.0</v>
      </c>
      <c r="S178" s="63">
        <v>90.81</v>
      </c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5"/>
      <c r="AM178" s="56"/>
      <c r="AN178" s="65"/>
      <c r="AO178" s="55"/>
      <c r="AP178" s="56"/>
      <c r="AQ178" s="55"/>
      <c r="AR178" s="55"/>
    </row>
    <row r="179">
      <c r="A179" s="59" t="s">
        <v>19</v>
      </c>
      <c r="B179" s="59"/>
      <c r="C179" s="59">
        <v>43234.0</v>
      </c>
      <c r="D179" s="60" t="s">
        <v>341</v>
      </c>
      <c r="E179" s="61">
        <v>27.0</v>
      </c>
      <c r="F179" s="61">
        <v>8258.0</v>
      </c>
      <c r="G179" s="61">
        <v>6294.0</v>
      </c>
      <c r="H179" s="62">
        <v>0.18121527777777777</v>
      </c>
      <c r="I179" s="61">
        <v>945.0</v>
      </c>
      <c r="J179" s="63">
        <f t="shared" si="15"/>
        <v>35</v>
      </c>
      <c r="K179" s="63">
        <v>84.5</v>
      </c>
      <c r="L179" s="61" t="str">
        <f t="shared" si="16"/>
        <v>81-85</v>
      </c>
      <c r="M179" s="63">
        <v>70.54</v>
      </c>
      <c r="N179" s="63">
        <v>80.62</v>
      </c>
      <c r="O179" s="63"/>
      <c r="P179" s="63">
        <v>90.86</v>
      </c>
      <c r="Q179" s="63">
        <v>92.35</v>
      </c>
      <c r="R179" s="63">
        <v>14.0</v>
      </c>
      <c r="S179" s="63">
        <v>92.1</v>
      </c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5"/>
      <c r="AM179" s="56"/>
      <c r="AN179" s="65"/>
      <c r="AO179" s="55"/>
      <c r="AP179" s="56"/>
      <c r="AQ179" s="55"/>
      <c r="AR179" s="55"/>
    </row>
    <row r="180">
      <c r="A180" s="59" t="s">
        <v>19</v>
      </c>
      <c r="B180" s="59"/>
      <c r="C180" s="59">
        <v>42705.0</v>
      </c>
      <c r="D180" s="60" t="s">
        <v>342</v>
      </c>
      <c r="E180" s="61">
        <v>26.0</v>
      </c>
      <c r="F180" s="61">
        <v>8244.0</v>
      </c>
      <c r="G180" s="61">
        <v>6291.0</v>
      </c>
      <c r="H180" s="62">
        <v>0.15011574074074074</v>
      </c>
      <c r="I180" s="61">
        <v>896.0</v>
      </c>
      <c r="J180" s="63">
        <f t="shared" si="15"/>
        <v>34.46153846</v>
      </c>
      <c r="K180" s="63">
        <v>85.06</v>
      </c>
      <c r="L180" s="61" t="str">
        <f t="shared" si="16"/>
        <v>85-90</v>
      </c>
      <c r="M180" s="63">
        <v>72.01</v>
      </c>
      <c r="N180" s="63">
        <v>78.24</v>
      </c>
      <c r="O180" s="63"/>
      <c r="P180" s="63">
        <v>91.05</v>
      </c>
      <c r="Q180" s="63">
        <v>93.04</v>
      </c>
      <c r="R180" s="63">
        <v>20.0</v>
      </c>
      <c r="S180" s="63">
        <v>93.01</v>
      </c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5"/>
      <c r="AM180" s="56"/>
      <c r="AN180" s="65"/>
      <c r="AO180" s="55"/>
      <c r="AP180" s="56"/>
      <c r="AQ180" s="55"/>
      <c r="AR180" s="55"/>
    </row>
    <row r="181">
      <c r="A181" s="59" t="s">
        <v>19</v>
      </c>
      <c r="B181" s="59"/>
      <c r="C181" s="59" t="s">
        <v>343</v>
      </c>
      <c r="D181" s="60" t="s">
        <v>344</v>
      </c>
      <c r="E181" s="61">
        <v>24.0</v>
      </c>
      <c r="F181" s="61">
        <v>8237.0</v>
      </c>
      <c r="G181" s="61">
        <v>6194.0</v>
      </c>
      <c r="H181" s="62">
        <v>0.14837962962962964</v>
      </c>
      <c r="I181" s="61">
        <v>763.0</v>
      </c>
      <c r="J181" s="63">
        <f t="shared" si="15"/>
        <v>31.79166667</v>
      </c>
      <c r="K181" s="63">
        <v>85.74</v>
      </c>
      <c r="L181" s="61" t="str">
        <f t="shared" si="16"/>
        <v>85-90</v>
      </c>
      <c r="M181" s="63">
        <v>77.36</v>
      </c>
      <c r="N181" s="63">
        <v>82.56</v>
      </c>
      <c r="O181" s="63"/>
      <c r="P181" s="63">
        <v>88.54</v>
      </c>
      <c r="Q181" s="63">
        <v>91.22</v>
      </c>
      <c r="R181" s="63">
        <v>0.0</v>
      </c>
      <c r="S181" s="63">
        <v>91.93</v>
      </c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5"/>
      <c r="AM181" s="56"/>
      <c r="AN181" s="65"/>
      <c r="AO181" s="55"/>
      <c r="AP181" s="56"/>
      <c r="AQ181" s="55"/>
      <c r="AR181" s="55"/>
    </row>
    <row r="182">
      <c r="A182" s="59" t="s">
        <v>19</v>
      </c>
      <c r="B182" s="59"/>
      <c r="C182" s="59">
        <v>44024.0</v>
      </c>
      <c r="D182" s="60" t="s">
        <v>345</v>
      </c>
      <c r="E182" s="61">
        <v>25.0</v>
      </c>
      <c r="F182" s="61">
        <v>7677.0</v>
      </c>
      <c r="G182" s="61">
        <v>6166.0</v>
      </c>
      <c r="H182" s="62">
        <v>0.1382175925925926</v>
      </c>
      <c r="I182" s="61">
        <v>878.0</v>
      </c>
      <c r="J182" s="63">
        <f t="shared" si="15"/>
        <v>35.12</v>
      </c>
      <c r="K182" s="63">
        <v>85.98</v>
      </c>
      <c r="L182" s="61" t="str">
        <f t="shared" si="16"/>
        <v>85-90</v>
      </c>
      <c r="M182" s="63">
        <v>75.32</v>
      </c>
      <c r="N182" s="63">
        <v>80.01</v>
      </c>
      <c r="O182" s="63"/>
      <c r="P182" s="63">
        <v>90.64</v>
      </c>
      <c r="Q182" s="63">
        <v>93.29</v>
      </c>
      <c r="R182" s="63">
        <v>14.29</v>
      </c>
      <c r="S182" s="63">
        <v>93.89</v>
      </c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5"/>
      <c r="AM182" s="56"/>
      <c r="AN182" s="65"/>
      <c r="AO182" s="55"/>
      <c r="AP182" s="56"/>
      <c r="AQ182" s="55"/>
      <c r="AR182" s="55"/>
    </row>
    <row r="183">
      <c r="A183" s="59" t="s">
        <v>19</v>
      </c>
      <c r="B183" s="59"/>
      <c r="C183" s="59" t="s">
        <v>346</v>
      </c>
      <c r="D183" s="60" t="s">
        <v>347</v>
      </c>
      <c r="E183" s="61">
        <v>26.0</v>
      </c>
      <c r="F183" s="61">
        <v>7414.0</v>
      </c>
      <c r="G183" s="61">
        <v>5551.0</v>
      </c>
      <c r="H183" s="62">
        <v>0.18194444444444444</v>
      </c>
      <c r="I183" s="61">
        <v>868.0</v>
      </c>
      <c r="J183" s="63">
        <f t="shared" si="15"/>
        <v>33.38461538</v>
      </c>
      <c r="K183" s="63">
        <v>86.36</v>
      </c>
      <c r="L183" s="61" t="str">
        <f t="shared" si="16"/>
        <v>85-90</v>
      </c>
      <c r="M183" s="63">
        <v>75.93</v>
      </c>
      <c r="N183" s="63">
        <v>83.2</v>
      </c>
      <c r="O183" s="63"/>
      <c r="P183" s="63">
        <v>90.61</v>
      </c>
      <c r="Q183" s="63">
        <v>92.14</v>
      </c>
      <c r="R183" s="63">
        <v>12.0</v>
      </c>
      <c r="S183" s="63">
        <v>92.6</v>
      </c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5"/>
      <c r="AM183" s="56"/>
      <c r="AN183" s="65"/>
      <c r="AO183" s="55"/>
      <c r="AP183" s="56"/>
      <c r="AQ183" s="55"/>
      <c r="AR183" s="55"/>
    </row>
    <row r="184">
      <c r="A184" s="59" t="s">
        <v>19</v>
      </c>
      <c r="B184" s="59"/>
      <c r="C184" s="59" t="s">
        <v>348</v>
      </c>
      <c r="D184" s="60" t="s">
        <v>349</v>
      </c>
      <c r="E184" s="61">
        <v>25.0</v>
      </c>
      <c r="F184" s="61">
        <v>6218.0</v>
      </c>
      <c r="G184" s="61">
        <v>4127.0</v>
      </c>
      <c r="H184" s="62">
        <v>0.18258101851851852</v>
      </c>
      <c r="I184" s="61">
        <v>529.0</v>
      </c>
      <c r="J184" s="63">
        <f t="shared" si="15"/>
        <v>21.16</v>
      </c>
      <c r="K184" s="63">
        <v>86.55</v>
      </c>
      <c r="L184" s="61" t="str">
        <f t="shared" si="16"/>
        <v>85-90</v>
      </c>
      <c r="M184" s="63">
        <v>81.03</v>
      </c>
      <c r="N184" s="63">
        <v>80.43</v>
      </c>
      <c r="O184" s="63"/>
      <c r="P184" s="63">
        <v>89.76</v>
      </c>
      <c r="Q184" s="63">
        <v>91.73</v>
      </c>
      <c r="R184" s="63">
        <v>68.75</v>
      </c>
      <c r="S184" s="63">
        <v>91.31</v>
      </c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5"/>
      <c r="AM184" s="56"/>
      <c r="AN184" s="65"/>
      <c r="AO184" s="55"/>
      <c r="AP184" s="56"/>
      <c r="AQ184" s="55"/>
      <c r="AR184" s="55"/>
    </row>
    <row r="185">
      <c r="A185" s="59" t="s">
        <v>19</v>
      </c>
      <c r="B185" s="59"/>
      <c r="C185" s="59" t="s">
        <v>350</v>
      </c>
      <c r="D185" s="60" t="s">
        <v>351</v>
      </c>
      <c r="E185" s="61">
        <v>26.0</v>
      </c>
      <c r="F185" s="61">
        <v>7581.0</v>
      </c>
      <c r="G185" s="61">
        <v>5702.0</v>
      </c>
      <c r="H185" s="62">
        <v>0.17998842592592593</v>
      </c>
      <c r="I185" s="61">
        <v>916.0</v>
      </c>
      <c r="J185" s="63">
        <f t="shared" si="15"/>
        <v>35.23076923</v>
      </c>
      <c r="K185" s="63">
        <v>86.81</v>
      </c>
      <c r="L185" s="61" t="str">
        <f t="shared" si="16"/>
        <v>85-90</v>
      </c>
      <c r="M185" s="63">
        <v>78.33</v>
      </c>
      <c r="N185" s="63">
        <v>83.44</v>
      </c>
      <c r="O185" s="63"/>
      <c r="P185" s="63">
        <v>90.18</v>
      </c>
      <c r="Q185" s="63">
        <v>92.59</v>
      </c>
      <c r="R185" s="63">
        <v>5.56</v>
      </c>
      <c r="S185" s="63">
        <v>92.27</v>
      </c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5"/>
      <c r="AM185" s="56"/>
      <c r="AN185" s="65"/>
      <c r="AO185" s="55"/>
      <c r="AP185" s="56"/>
      <c r="AQ185" s="55"/>
      <c r="AR185" s="55"/>
    </row>
    <row r="186">
      <c r="A186" s="59" t="s">
        <v>19</v>
      </c>
      <c r="B186" s="59"/>
      <c r="C186" s="59">
        <v>42865.0</v>
      </c>
      <c r="D186" s="60" t="s">
        <v>352</v>
      </c>
      <c r="E186" s="61">
        <v>27.0</v>
      </c>
      <c r="F186" s="61">
        <v>8165.0</v>
      </c>
      <c r="G186" s="61">
        <v>6305.0</v>
      </c>
      <c r="H186" s="62">
        <v>0.16219907407407408</v>
      </c>
      <c r="I186" s="61">
        <v>884.0</v>
      </c>
      <c r="J186" s="63">
        <f t="shared" si="15"/>
        <v>32.74074074</v>
      </c>
      <c r="K186" s="63">
        <v>86.83</v>
      </c>
      <c r="L186" s="61" t="str">
        <f t="shared" si="16"/>
        <v>85-90</v>
      </c>
      <c r="M186" s="63">
        <v>77.53</v>
      </c>
      <c r="N186" s="63">
        <v>86.11</v>
      </c>
      <c r="O186" s="63"/>
      <c r="P186" s="63">
        <v>90.28</v>
      </c>
      <c r="Q186" s="63">
        <v>92.5</v>
      </c>
      <c r="R186" s="63">
        <v>7.5</v>
      </c>
      <c r="S186" s="63">
        <v>93.13</v>
      </c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5"/>
      <c r="AM186" s="56"/>
      <c r="AN186" s="65"/>
      <c r="AO186" s="55"/>
      <c r="AP186" s="56"/>
      <c r="AQ186" s="55"/>
      <c r="AR186" s="55"/>
    </row>
    <row r="187">
      <c r="A187" s="59" t="s">
        <v>19</v>
      </c>
      <c r="B187" s="59"/>
      <c r="C187" s="59" t="s">
        <v>353</v>
      </c>
      <c r="D187" s="60" t="s">
        <v>354</v>
      </c>
      <c r="E187" s="61">
        <v>26.0</v>
      </c>
      <c r="F187" s="61">
        <v>6892.0</v>
      </c>
      <c r="G187" s="61">
        <v>5329.0</v>
      </c>
      <c r="H187" s="62">
        <v>0.1570601851851852</v>
      </c>
      <c r="I187" s="61">
        <v>762.0</v>
      </c>
      <c r="J187" s="63">
        <f t="shared" si="15"/>
        <v>29.30769231</v>
      </c>
      <c r="K187" s="63">
        <v>87.05</v>
      </c>
      <c r="L187" s="61" t="str">
        <f t="shared" si="16"/>
        <v>85-90</v>
      </c>
      <c r="M187" s="63">
        <v>78.73</v>
      </c>
      <c r="N187" s="63">
        <v>86.25</v>
      </c>
      <c r="O187" s="63"/>
      <c r="P187" s="63">
        <v>90.59</v>
      </c>
      <c r="Q187" s="63">
        <v>92.01</v>
      </c>
      <c r="R187" s="63">
        <v>2.5</v>
      </c>
      <c r="S187" s="63">
        <v>92.5</v>
      </c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5"/>
      <c r="AM187" s="56"/>
      <c r="AN187" s="65"/>
      <c r="AO187" s="55"/>
      <c r="AP187" s="56"/>
      <c r="AQ187" s="55"/>
      <c r="AR187" s="55"/>
    </row>
    <row r="188">
      <c r="A188" s="59" t="s">
        <v>19</v>
      </c>
      <c r="B188" s="59"/>
      <c r="C188" s="59" t="s">
        <v>355</v>
      </c>
      <c r="D188" s="60" t="s">
        <v>356</v>
      </c>
      <c r="E188" s="61">
        <v>24.0</v>
      </c>
      <c r="F188" s="61">
        <v>5979.0</v>
      </c>
      <c r="G188" s="61">
        <v>4632.0</v>
      </c>
      <c r="H188" s="62">
        <v>0.1730324074074074</v>
      </c>
      <c r="I188" s="61">
        <v>690.0</v>
      </c>
      <c r="J188" s="63">
        <f t="shared" si="15"/>
        <v>28.75</v>
      </c>
      <c r="K188" s="63">
        <v>87.7</v>
      </c>
      <c r="L188" s="61" t="str">
        <f t="shared" si="16"/>
        <v>85-90</v>
      </c>
      <c r="M188" s="63">
        <v>77.68</v>
      </c>
      <c r="N188" s="63">
        <v>86.76</v>
      </c>
      <c r="O188" s="63"/>
      <c r="P188" s="63">
        <v>90.14</v>
      </c>
      <c r="Q188" s="63">
        <v>92.62</v>
      </c>
      <c r="R188" s="63">
        <v>8.0</v>
      </c>
      <c r="S188" s="63">
        <v>92.68</v>
      </c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5"/>
      <c r="AM188" s="56"/>
      <c r="AN188" s="65"/>
      <c r="AO188" s="55"/>
      <c r="AP188" s="56"/>
      <c r="AQ188" s="55"/>
      <c r="AR188" s="55"/>
    </row>
    <row r="189">
      <c r="A189" s="59" t="s">
        <v>19</v>
      </c>
      <c r="B189" s="59"/>
      <c r="C189" s="59" t="s">
        <v>357</v>
      </c>
      <c r="D189" s="60" t="s">
        <v>358</v>
      </c>
      <c r="E189" s="61">
        <v>25.0</v>
      </c>
      <c r="F189" s="61">
        <v>6326.0</v>
      </c>
      <c r="G189" s="61">
        <v>5110.0</v>
      </c>
      <c r="H189" s="62">
        <v>0.16641203703703702</v>
      </c>
      <c r="I189" s="61">
        <v>764.0</v>
      </c>
      <c r="J189" s="63">
        <f t="shared" si="15"/>
        <v>30.56</v>
      </c>
      <c r="K189" s="63">
        <v>87.82</v>
      </c>
      <c r="L189" s="61" t="str">
        <f t="shared" si="16"/>
        <v>85-90</v>
      </c>
      <c r="M189" s="63">
        <v>79.43</v>
      </c>
      <c r="N189" s="63">
        <v>84.02</v>
      </c>
      <c r="O189" s="63"/>
      <c r="P189" s="63">
        <v>92.03</v>
      </c>
      <c r="Q189" s="63">
        <v>93.45</v>
      </c>
      <c r="R189" s="63">
        <v>0.0</v>
      </c>
      <c r="S189" s="63">
        <v>93.84</v>
      </c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5"/>
      <c r="AM189" s="56"/>
      <c r="AN189" s="65"/>
      <c r="AO189" s="55"/>
      <c r="AP189" s="56"/>
      <c r="AQ189" s="55"/>
      <c r="AR189" s="55"/>
    </row>
    <row r="190">
      <c r="A190" s="59" t="s">
        <v>19</v>
      </c>
      <c r="B190" s="59"/>
      <c r="C190" s="59">
        <v>43307.0</v>
      </c>
      <c r="D190" s="60" t="s">
        <v>359</v>
      </c>
      <c r="E190" s="61">
        <v>27.0</v>
      </c>
      <c r="F190" s="61">
        <v>6406.0</v>
      </c>
      <c r="G190" s="61">
        <v>4582.0</v>
      </c>
      <c r="H190" s="62">
        <v>0.17905092592592592</v>
      </c>
      <c r="I190" s="61">
        <v>667.0</v>
      </c>
      <c r="J190" s="63">
        <f t="shared" si="15"/>
        <v>24.7037037</v>
      </c>
      <c r="K190" s="63">
        <v>88.14</v>
      </c>
      <c r="L190" s="61" t="str">
        <f t="shared" si="16"/>
        <v>85-90</v>
      </c>
      <c r="M190" s="63">
        <v>78.84</v>
      </c>
      <c r="N190" s="63">
        <v>85.97</v>
      </c>
      <c r="O190" s="63"/>
      <c r="P190" s="63">
        <v>91.86</v>
      </c>
      <c r="Q190" s="63">
        <v>93.41</v>
      </c>
      <c r="R190" s="63">
        <v>6.0</v>
      </c>
      <c r="S190" s="63">
        <v>93.25</v>
      </c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5"/>
      <c r="AM190" s="56"/>
      <c r="AN190" s="65"/>
      <c r="AO190" s="55"/>
      <c r="AP190" s="56"/>
      <c r="AQ190" s="55"/>
      <c r="AR190" s="55"/>
    </row>
    <row r="191">
      <c r="A191" s="59" t="s">
        <v>19</v>
      </c>
      <c r="B191" s="59"/>
      <c r="C191" s="59">
        <v>10115.0</v>
      </c>
      <c r="D191" s="60" t="s">
        <v>360</v>
      </c>
      <c r="E191" s="61">
        <v>24.0</v>
      </c>
      <c r="F191" s="61">
        <v>5791.0</v>
      </c>
      <c r="G191" s="61">
        <v>4371.0</v>
      </c>
      <c r="H191" s="62">
        <v>0.1728009259259259</v>
      </c>
      <c r="I191" s="61">
        <v>638.0</v>
      </c>
      <c r="J191" s="63">
        <f t="shared" si="15"/>
        <v>26.58333333</v>
      </c>
      <c r="K191" s="63">
        <v>88.67</v>
      </c>
      <c r="L191" s="61" t="str">
        <f t="shared" si="16"/>
        <v>85-90</v>
      </c>
      <c r="M191" s="63">
        <v>81.78</v>
      </c>
      <c r="N191" s="63">
        <v>86.55</v>
      </c>
      <c r="O191" s="63"/>
      <c r="P191" s="63">
        <v>91.62</v>
      </c>
      <c r="Q191" s="63">
        <v>91.87</v>
      </c>
      <c r="R191" s="63">
        <v>21.43</v>
      </c>
      <c r="S191" s="63">
        <v>93.89</v>
      </c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5"/>
      <c r="AM191" s="56"/>
      <c r="AN191" s="65"/>
      <c r="AO191" s="55"/>
      <c r="AP191" s="56"/>
      <c r="AQ191" s="55"/>
      <c r="AR191" s="55"/>
    </row>
    <row r="192">
      <c r="A192" s="59" t="s">
        <v>19</v>
      </c>
      <c r="B192" s="59"/>
      <c r="C192" s="59" t="s">
        <v>361</v>
      </c>
      <c r="D192" s="60" t="s">
        <v>362</v>
      </c>
      <c r="E192" s="61">
        <v>26.0</v>
      </c>
      <c r="F192" s="61">
        <v>5739.0</v>
      </c>
      <c r="G192" s="61">
        <v>4525.0</v>
      </c>
      <c r="H192" s="62">
        <v>0.20697916666666666</v>
      </c>
      <c r="I192" s="61">
        <v>734.0</v>
      </c>
      <c r="J192" s="63">
        <f t="shared" si="15"/>
        <v>28.23076923</v>
      </c>
      <c r="K192" s="63">
        <v>88.96</v>
      </c>
      <c r="L192" s="61" t="str">
        <f t="shared" si="16"/>
        <v>85-90</v>
      </c>
      <c r="M192" s="63">
        <v>82.63</v>
      </c>
      <c r="N192" s="63">
        <v>86.28</v>
      </c>
      <c r="O192" s="63"/>
      <c r="P192" s="63">
        <v>91.06</v>
      </c>
      <c r="Q192" s="63">
        <v>93.03</v>
      </c>
      <c r="R192" s="63">
        <v>17.89</v>
      </c>
      <c r="S192" s="63">
        <v>93.19</v>
      </c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5"/>
      <c r="AM192" s="56"/>
      <c r="AN192" s="65"/>
      <c r="AO192" s="55"/>
      <c r="AP192" s="56"/>
      <c r="AQ192" s="55"/>
      <c r="AR192" s="55"/>
    </row>
    <row r="193">
      <c r="A193" s="59" t="s">
        <v>19</v>
      </c>
      <c r="B193" s="59"/>
      <c r="C193" s="59">
        <v>44066.0</v>
      </c>
      <c r="D193" s="60" t="s">
        <v>363</v>
      </c>
      <c r="E193" s="61">
        <v>27.0</v>
      </c>
      <c r="F193" s="61">
        <v>7125.0</v>
      </c>
      <c r="G193" s="61">
        <v>5623.0</v>
      </c>
      <c r="H193" s="62">
        <v>0.17197916666666666</v>
      </c>
      <c r="I193" s="61">
        <v>859.0</v>
      </c>
      <c r="J193" s="63">
        <f t="shared" si="15"/>
        <v>31.81481481</v>
      </c>
      <c r="K193" s="63">
        <v>89.33</v>
      </c>
      <c r="L193" s="61" t="str">
        <f t="shared" si="16"/>
        <v>85-90</v>
      </c>
      <c r="M193" s="63">
        <v>81.93</v>
      </c>
      <c r="N193" s="63">
        <v>88.37</v>
      </c>
      <c r="O193" s="63"/>
      <c r="P193" s="63">
        <v>92.28</v>
      </c>
      <c r="Q193" s="63">
        <v>93.07</v>
      </c>
      <c r="R193" s="63">
        <v>15.0</v>
      </c>
      <c r="S193" s="63">
        <v>94.05</v>
      </c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5"/>
      <c r="AM193" s="56"/>
      <c r="AN193" s="65"/>
      <c r="AO193" s="55"/>
      <c r="AP193" s="56"/>
      <c r="AQ193" s="55"/>
      <c r="AR193" s="55"/>
    </row>
    <row r="194">
      <c r="A194" s="59" t="s">
        <v>19</v>
      </c>
      <c r="B194" s="59"/>
      <c r="C194" s="59" t="s">
        <v>364</v>
      </c>
      <c r="D194" s="60" t="s">
        <v>365</v>
      </c>
      <c r="E194" s="61">
        <v>26.0</v>
      </c>
      <c r="F194" s="61">
        <v>6863.0</v>
      </c>
      <c r="G194" s="61">
        <v>5359.0</v>
      </c>
      <c r="H194" s="62">
        <v>0.1867476851851852</v>
      </c>
      <c r="I194" s="61">
        <v>830.0</v>
      </c>
      <c r="J194" s="63">
        <f t="shared" si="15"/>
        <v>31.92307692</v>
      </c>
      <c r="K194" s="63">
        <v>89.57</v>
      </c>
      <c r="L194" s="61" t="str">
        <f t="shared" si="16"/>
        <v>85-90</v>
      </c>
      <c r="M194" s="63">
        <v>82.71</v>
      </c>
      <c r="N194" s="63">
        <v>89.27</v>
      </c>
      <c r="O194" s="63"/>
      <c r="P194" s="63">
        <v>92.75</v>
      </c>
      <c r="Q194" s="63">
        <v>93.62</v>
      </c>
      <c r="R194" s="63">
        <v>11.11</v>
      </c>
      <c r="S194" s="63">
        <v>94.02</v>
      </c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5"/>
      <c r="AM194" s="56"/>
      <c r="AN194" s="65"/>
      <c r="AO194" s="55"/>
      <c r="AP194" s="56"/>
      <c r="AQ194" s="55"/>
      <c r="AR194" s="55"/>
    </row>
    <row r="195">
      <c r="A195" s="59" t="s">
        <v>19</v>
      </c>
      <c r="B195" s="59"/>
      <c r="C195" s="59" t="s">
        <v>366</v>
      </c>
      <c r="D195" s="60" t="s">
        <v>367</v>
      </c>
      <c r="E195" s="61">
        <v>1.0</v>
      </c>
      <c r="F195" s="61">
        <v>333.0</v>
      </c>
      <c r="G195" s="61">
        <v>289.0</v>
      </c>
      <c r="H195" s="66">
        <v>0.188125</v>
      </c>
      <c r="I195" s="61">
        <v>267.0</v>
      </c>
      <c r="J195" s="63">
        <f t="shared" si="15"/>
        <v>267</v>
      </c>
      <c r="K195" s="63">
        <v>95.6</v>
      </c>
      <c r="L195" s="61" t="str">
        <f t="shared" si="16"/>
        <v>G95%</v>
      </c>
      <c r="M195" s="63">
        <v>95.31</v>
      </c>
      <c r="N195" s="63">
        <v>95.63</v>
      </c>
      <c r="O195" s="63"/>
      <c r="P195" s="63">
        <v>95.31</v>
      </c>
      <c r="Q195" s="63">
        <v>94.69</v>
      </c>
      <c r="R195" s="63"/>
      <c r="S195" s="63">
        <v>97.19</v>
      </c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5"/>
      <c r="AM195" s="56"/>
      <c r="AN195" s="65"/>
      <c r="AO195" s="55"/>
      <c r="AP195" s="56"/>
      <c r="AQ195" s="55"/>
      <c r="AR195" s="55"/>
    </row>
    <row r="196">
      <c r="A196" s="59" t="s">
        <v>19</v>
      </c>
      <c r="B196" s="59"/>
      <c r="C196" s="59">
        <v>43278.0</v>
      </c>
      <c r="D196" s="60" t="s">
        <v>368</v>
      </c>
      <c r="E196" s="61">
        <v>5.0</v>
      </c>
      <c r="F196" s="61">
        <v>1219.0</v>
      </c>
      <c r="G196" s="61">
        <v>1075.0</v>
      </c>
      <c r="H196" s="66">
        <v>0.14824074074074073</v>
      </c>
      <c r="I196" s="61">
        <v>277.0</v>
      </c>
      <c r="J196" s="63">
        <f t="shared" si="15"/>
        <v>55.4</v>
      </c>
      <c r="K196" s="63">
        <v>96.02</v>
      </c>
      <c r="L196" s="61" t="str">
        <f t="shared" si="16"/>
        <v>G95%</v>
      </c>
      <c r="M196" s="63">
        <v>97.23</v>
      </c>
      <c r="N196" s="63">
        <v>92.84</v>
      </c>
      <c r="O196" s="63"/>
      <c r="P196" s="63">
        <v>96.44</v>
      </c>
      <c r="Q196" s="63">
        <v>97.08</v>
      </c>
      <c r="R196" s="63"/>
      <c r="S196" s="63">
        <v>96.47</v>
      </c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5"/>
      <c r="AM196" s="56"/>
      <c r="AN196" s="65"/>
      <c r="AO196" s="55"/>
      <c r="AP196" s="56"/>
      <c r="AQ196" s="55"/>
      <c r="AR196" s="55"/>
    </row>
    <row r="197">
      <c r="A197" s="59" t="s">
        <v>19</v>
      </c>
      <c r="B197" s="59"/>
      <c r="C197" s="59">
        <v>40169.0</v>
      </c>
      <c r="D197" s="60" t="s">
        <v>369</v>
      </c>
      <c r="E197" s="61">
        <v>26.0</v>
      </c>
      <c r="F197" s="61">
        <v>6766.0</v>
      </c>
      <c r="G197" s="61">
        <v>5338.0</v>
      </c>
      <c r="H197" s="62">
        <v>0.16297453703703704</v>
      </c>
      <c r="I197" s="61">
        <v>792.0</v>
      </c>
      <c r="J197" s="63">
        <f t="shared" si="15"/>
        <v>30.46153846</v>
      </c>
      <c r="K197" s="63">
        <v>84.83461538</v>
      </c>
      <c r="L197" s="61" t="str">
        <f t="shared" si="16"/>
        <v>81-85</v>
      </c>
      <c r="M197" s="63"/>
      <c r="N197" s="63"/>
      <c r="O197" s="63"/>
      <c r="P197" s="63"/>
      <c r="Q197" s="63"/>
      <c r="R197" s="63"/>
      <c r="S197" s="63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5"/>
      <c r="AM197" s="56"/>
      <c r="AN197" s="65"/>
      <c r="AO197" s="55"/>
      <c r="AP197" s="56"/>
      <c r="AQ197" s="55"/>
      <c r="AR197" s="55"/>
    </row>
    <row r="198">
      <c r="A198" s="65"/>
      <c r="B198" s="65"/>
      <c r="C198" s="65"/>
      <c r="D198" s="65"/>
      <c r="E198" s="65"/>
      <c r="F198" s="65"/>
      <c r="G198" s="65"/>
      <c r="H198" s="65"/>
      <c r="I198" s="67"/>
      <c r="J198" s="65"/>
      <c r="K198" s="67"/>
      <c r="L198" s="67"/>
      <c r="M198" s="65"/>
      <c r="N198" s="65"/>
      <c r="O198" s="65"/>
      <c r="P198" s="65"/>
      <c r="Q198" s="65"/>
      <c r="R198" s="65"/>
      <c r="S198" s="65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5"/>
      <c r="AM198" s="56"/>
      <c r="AN198" s="65"/>
      <c r="AO198" s="55"/>
      <c r="AP198" s="56"/>
      <c r="AQ198" s="55"/>
      <c r="AR198" s="55"/>
    </row>
    <row r="199">
      <c r="A199" s="54" t="s">
        <v>1</v>
      </c>
      <c r="B199" s="54" t="s">
        <v>34</v>
      </c>
      <c r="C199" s="54" t="s">
        <v>35</v>
      </c>
      <c r="D199" s="54" t="s">
        <v>36</v>
      </c>
      <c r="E199" s="54" t="s">
        <v>37</v>
      </c>
      <c r="F199" s="54" t="s">
        <v>38</v>
      </c>
      <c r="G199" s="54" t="s">
        <v>39</v>
      </c>
      <c r="H199" s="54" t="s">
        <v>40</v>
      </c>
      <c r="I199" s="54" t="s">
        <v>41</v>
      </c>
      <c r="J199" s="54" t="s">
        <v>42</v>
      </c>
      <c r="K199" s="54" t="s">
        <v>245</v>
      </c>
      <c r="L199" s="54" t="s">
        <v>43</v>
      </c>
      <c r="M199" s="54" t="s">
        <v>246</v>
      </c>
      <c r="N199" s="54" t="s">
        <v>247</v>
      </c>
      <c r="O199" s="54" t="s">
        <v>44</v>
      </c>
      <c r="P199" s="54" t="s">
        <v>248</v>
      </c>
      <c r="Q199" s="54" t="s">
        <v>249</v>
      </c>
      <c r="R199" s="54" t="s">
        <v>250</v>
      </c>
      <c r="S199" s="54" t="s">
        <v>251</v>
      </c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 t="s">
        <v>53</v>
      </c>
      <c r="AE199" s="57" t="s">
        <v>53</v>
      </c>
      <c r="AF199" s="56"/>
      <c r="AG199" s="57" t="s">
        <v>53</v>
      </c>
      <c r="AH199" s="57" t="s">
        <v>53</v>
      </c>
      <c r="AI199" s="57" t="s">
        <v>53</v>
      </c>
      <c r="AJ199" s="57" t="s">
        <v>53</v>
      </c>
      <c r="AK199" s="56"/>
      <c r="AL199" s="55"/>
      <c r="AM199" s="57" t="s">
        <v>53</v>
      </c>
      <c r="AN199" s="65"/>
      <c r="AO199" s="55"/>
      <c r="AP199" s="56"/>
      <c r="AQ199" s="55"/>
      <c r="AR199" s="55"/>
    </row>
    <row r="200">
      <c r="A200" s="59" t="s">
        <v>17</v>
      </c>
      <c r="B200" s="59"/>
      <c r="C200" s="59">
        <v>21531.0</v>
      </c>
      <c r="D200" s="60" t="s">
        <v>370</v>
      </c>
      <c r="E200" s="61">
        <v>18.0</v>
      </c>
      <c r="F200" s="61">
        <v>4965.0</v>
      </c>
      <c r="G200" s="61">
        <v>4046.0</v>
      </c>
      <c r="H200" s="62">
        <v>0.15689814814814815</v>
      </c>
      <c r="I200" s="61">
        <v>39.0</v>
      </c>
      <c r="J200" s="63">
        <f t="shared" ref="J200:J279" si="19">I200/E200</f>
        <v>2.166666667</v>
      </c>
      <c r="K200" s="63">
        <v>80.97368421</v>
      </c>
      <c r="L200" s="61" t="str">
        <f t="shared" ref="L200:L274" si="20">IF(K200&lt;80,"L80",IF(K200&lt;=85,"81-85",IF(K200&lt;=90,"85-90",IF(K200&lt;=95,"91-95","G95%"))))</f>
        <v>81-85</v>
      </c>
      <c r="M200" s="63">
        <v>73.54</v>
      </c>
      <c r="N200" s="63">
        <v>73.93</v>
      </c>
      <c r="O200" s="63"/>
      <c r="P200" s="63">
        <v>84.3</v>
      </c>
      <c r="Q200" s="63">
        <v>86.01</v>
      </c>
      <c r="R200" s="63">
        <v>10.71</v>
      </c>
      <c r="S200" s="63">
        <v>87.67</v>
      </c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>
        <f t="shared" ref="AD200:AE200" si="17">CORREL(M200:M279,$J$200:$J$279)</f>
        <v>0.2198035584</v>
      </c>
      <c r="AE200" s="58">
        <f t="shared" si="17"/>
        <v>0.03291144512</v>
      </c>
      <c r="AF200" s="58"/>
      <c r="AG200" s="58">
        <f t="shared" ref="AG200:AJ200" si="18">CORREL(P200:P279,$J$200:$J$279)</f>
        <v>0.1444486999</v>
      </c>
      <c r="AH200" s="58">
        <f t="shared" si="18"/>
        <v>0.1211647129</v>
      </c>
      <c r="AI200" s="58">
        <f t="shared" si="18"/>
        <v>-0.06428543095</v>
      </c>
      <c r="AJ200" s="58">
        <f t="shared" si="18"/>
        <v>0.2199898528</v>
      </c>
      <c r="AK200" s="56"/>
      <c r="AL200" s="55"/>
      <c r="AM200" s="58">
        <f>CORREL(J200:J274,K200:K274)</f>
        <v>0.282735934</v>
      </c>
      <c r="AN200" s="65"/>
      <c r="AO200" s="55"/>
      <c r="AP200" s="56"/>
      <c r="AQ200" s="55"/>
      <c r="AR200" s="55"/>
    </row>
    <row r="201">
      <c r="A201" s="59" t="s">
        <v>17</v>
      </c>
      <c r="B201" s="59"/>
      <c r="C201" s="59">
        <v>21661.0</v>
      </c>
      <c r="D201" s="60" t="s">
        <v>371</v>
      </c>
      <c r="E201" s="61">
        <v>28.0</v>
      </c>
      <c r="F201" s="61">
        <v>7777.0</v>
      </c>
      <c r="G201" s="61">
        <v>6403.0</v>
      </c>
      <c r="H201" s="62">
        <v>0.15909722222222222</v>
      </c>
      <c r="I201" s="61">
        <v>47.0</v>
      </c>
      <c r="J201" s="63">
        <f t="shared" si="19"/>
        <v>1.678571429</v>
      </c>
      <c r="K201" s="63">
        <v>80.99642857</v>
      </c>
      <c r="L201" s="61" t="str">
        <f t="shared" si="20"/>
        <v>81-85</v>
      </c>
      <c r="M201" s="63">
        <v>74.21</v>
      </c>
      <c r="N201" s="63">
        <v>74.62</v>
      </c>
      <c r="O201" s="63"/>
      <c r="P201" s="63">
        <v>84.28</v>
      </c>
      <c r="Q201" s="63">
        <v>86.37</v>
      </c>
      <c r="R201" s="63">
        <v>11.11</v>
      </c>
      <c r="S201" s="63">
        <v>87.94</v>
      </c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5"/>
      <c r="AM201" s="56"/>
      <c r="AN201" s="65"/>
      <c r="AO201" s="55"/>
      <c r="AP201" s="56"/>
      <c r="AQ201" s="55"/>
      <c r="AR201" s="55"/>
    </row>
    <row r="202">
      <c r="A202" s="59" t="s">
        <v>17</v>
      </c>
      <c r="B202" s="59"/>
      <c r="C202" s="59">
        <v>22487.0</v>
      </c>
      <c r="D202" s="60" t="s">
        <v>372</v>
      </c>
      <c r="E202" s="61">
        <v>7.0</v>
      </c>
      <c r="F202" s="61">
        <v>2346.0</v>
      </c>
      <c r="G202" s="61">
        <v>2105.0</v>
      </c>
      <c r="H202" s="62">
        <v>0.1441087962962963</v>
      </c>
      <c r="I202" s="61">
        <v>18.0</v>
      </c>
      <c r="J202" s="63">
        <f t="shared" si="19"/>
        <v>2.571428571</v>
      </c>
      <c r="K202" s="63">
        <v>81.08571429</v>
      </c>
      <c r="L202" s="61" t="str">
        <f t="shared" si="20"/>
        <v>81-85</v>
      </c>
      <c r="M202" s="63">
        <v>79.95</v>
      </c>
      <c r="N202" s="63">
        <v>64.28</v>
      </c>
      <c r="O202" s="63"/>
      <c r="P202" s="63">
        <v>81.53</v>
      </c>
      <c r="Q202" s="63">
        <v>90.41</v>
      </c>
      <c r="R202" s="63">
        <v>13.89</v>
      </c>
      <c r="S202" s="63">
        <v>86.73</v>
      </c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5"/>
      <c r="AM202" s="56"/>
      <c r="AN202" s="65"/>
      <c r="AO202" s="55"/>
      <c r="AP202" s="56"/>
      <c r="AQ202" s="55"/>
      <c r="AR202" s="55"/>
    </row>
    <row r="203">
      <c r="A203" s="59" t="s">
        <v>17</v>
      </c>
      <c r="B203" s="59"/>
      <c r="C203" s="59" t="s">
        <v>373</v>
      </c>
      <c r="D203" s="60" t="s">
        <v>374</v>
      </c>
      <c r="E203" s="61">
        <v>26.0</v>
      </c>
      <c r="F203" s="61">
        <v>8537.0</v>
      </c>
      <c r="G203" s="61">
        <v>7699.0</v>
      </c>
      <c r="H203" s="62">
        <v>0.15033564814814815</v>
      </c>
      <c r="I203" s="61">
        <v>65.0</v>
      </c>
      <c r="J203" s="63">
        <f t="shared" si="19"/>
        <v>2.5</v>
      </c>
      <c r="K203" s="63">
        <v>81.47083333</v>
      </c>
      <c r="L203" s="61" t="str">
        <f t="shared" si="20"/>
        <v>81-85</v>
      </c>
      <c r="M203" s="63">
        <v>73.8</v>
      </c>
      <c r="N203" s="63">
        <v>71.88</v>
      </c>
      <c r="O203" s="63"/>
      <c r="P203" s="63">
        <v>84.14</v>
      </c>
      <c r="Q203" s="63">
        <v>86.86</v>
      </c>
      <c r="R203" s="63">
        <v>13.33</v>
      </c>
      <c r="S203" s="63">
        <v>87.64</v>
      </c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5"/>
      <c r="AM203" s="56"/>
      <c r="AN203" s="65"/>
      <c r="AO203" s="55"/>
      <c r="AP203" s="56"/>
      <c r="AQ203" s="55"/>
      <c r="AR203" s="55"/>
    </row>
    <row r="204">
      <c r="A204" s="59" t="s">
        <v>17</v>
      </c>
      <c r="B204" s="59"/>
      <c r="C204" s="59" t="s">
        <v>375</v>
      </c>
      <c r="D204" s="60" t="s">
        <v>376</v>
      </c>
      <c r="E204" s="61">
        <v>25.0</v>
      </c>
      <c r="F204" s="61">
        <v>6845.0</v>
      </c>
      <c r="G204" s="61">
        <v>5458.0</v>
      </c>
      <c r="H204" s="62">
        <v>0.14142361111111112</v>
      </c>
      <c r="I204" s="61">
        <v>36.0</v>
      </c>
      <c r="J204" s="63">
        <f t="shared" si="19"/>
        <v>1.44</v>
      </c>
      <c r="K204" s="63">
        <v>82.73043478</v>
      </c>
      <c r="L204" s="61" t="str">
        <f t="shared" si="20"/>
        <v>81-85</v>
      </c>
      <c r="M204" s="63">
        <v>75.83</v>
      </c>
      <c r="N204" s="63">
        <v>73.55</v>
      </c>
      <c r="O204" s="63"/>
      <c r="P204" s="63">
        <v>85.61</v>
      </c>
      <c r="Q204" s="63">
        <v>87.65</v>
      </c>
      <c r="R204" s="63">
        <v>22.5</v>
      </c>
      <c r="S204" s="63">
        <v>88.02</v>
      </c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5"/>
      <c r="AM204" s="56"/>
      <c r="AN204" s="65"/>
      <c r="AO204" s="55"/>
      <c r="AP204" s="56"/>
      <c r="AQ204" s="55"/>
      <c r="AR204" s="55"/>
    </row>
    <row r="205">
      <c r="A205" s="59" t="s">
        <v>17</v>
      </c>
      <c r="B205" s="59"/>
      <c r="C205" s="59">
        <v>22546.0</v>
      </c>
      <c r="D205" s="60" t="s">
        <v>377</v>
      </c>
      <c r="E205" s="61">
        <v>6.0</v>
      </c>
      <c r="F205" s="61">
        <v>1275.0</v>
      </c>
      <c r="G205" s="61">
        <v>1211.0</v>
      </c>
      <c r="H205" s="66">
        <v>0.13783564814814814</v>
      </c>
      <c r="I205" s="61">
        <v>1.0</v>
      </c>
      <c r="J205" s="63">
        <f t="shared" si="19"/>
        <v>0.1666666667</v>
      </c>
      <c r="K205" s="63">
        <v>83.08</v>
      </c>
      <c r="L205" s="61" t="str">
        <f t="shared" si="20"/>
        <v>81-85</v>
      </c>
      <c r="M205" s="63"/>
      <c r="N205" s="63"/>
      <c r="O205" s="63"/>
      <c r="P205" s="63"/>
      <c r="Q205" s="63"/>
      <c r="R205" s="63"/>
      <c r="S205" s="63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5"/>
      <c r="AM205" s="56"/>
      <c r="AN205" s="65"/>
      <c r="AO205" s="55"/>
      <c r="AP205" s="56"/>
      <c r="AQ205" s="55"/>
      <c r="AR205" s="55"/>
    </row>
    <row r="206">
      <c r="A206" s="59" t="s">
        <v>17</v>
      </c>
      <c r="B206" s="59"/>
      <c r="C206" s="59">
        <v>22552.0</v>
      </c>
      <c r="D206" s="60" t="s">
        <v>378</v>
      </c>
      <c r="E206" s="61">
        <v>5.0</v>
      </c>
      <c r="F206" s="61">
        <v>1227.0</v>
      </c>
      <c r="G206" s="61">
        <v>1169.0</v>
      </c>
      <c r="H206" s="66">
        <v>0.16609953703703703</v>
      </c>
      <c r="I206" s="61">
        <v>2.0</v>
      </c>
      <c r="J206" s="63">
        <f t="shared" si="19"/>
        <v>0.4</v>
      </c>
      <c r="K206" s="63">
        <v>83.275</v>
      </c>
      <c r="L206" s="61" t="str">
        <f t="shared" si="20"/>
        <v>81-85</v>
      </c>
      <c r="M206" s="63"/>
      <c r="N206" s="63"/>
      <c r="O206" s="63"/>
      <c r="P206" s="63"/>
      <c r="Q206" s="63"/>
      <c r="R206" s="63"/>
      <c r="S206" s="63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5"/>
      <c r="AM206" s="56"/>
      <c r="AN206" s="65"/>
      <c r="AO206" s="55"/>
      <c r="AP206" s="56"/>
      <c r="AQ206" s="55"/>
      <c r="AR206" s="55"/>
    </row>
    <row r="207">
      <c r="A207" s="59" t="s">
        <v>17</v>
      </c>
      <c r="B207" s="59"/>
      <c r="C207" s="59" t="s">
        <v>379</v>
      </c>
      <c r="D207" s="60" t="s">
        <v>380</v>
      </c>
      <c r="E207" s="61">
        <v>26.0</v>
      </c>
      <c r="F207" s="61">
        <v>7705.0</v>
      </c>
      <c r="G207" s="61">
        <v>6404.0</v>
      </c>
      <c r="H207" s="62">
        <v>0.1553240740740741</v>
      </c>
      <c r="I207" s="61">
        <v>61.0</v>
      </c>
      <c r="J207" s="63">
        <f t="shared" si="19"/>
        <v>2.346153846</v>
      </c>
      <c r="K207" s="63">
        <v>83.528</v>
      </c>
      <c r="L207" s="61" t="str">
        <f t="shared" si="20"/>
        <v>81-85</v>
      </c>
      <c r="M207" s="63">
        <v>75.0</v>
      </c>
      <c r="N207" s="63">
        <v>80.56</v>
      </c>
      <c r="O207" s="63"/>
      <c r="P207" s="63">
        <v>85.89</v>
      </c>
      <c r="Q207" s="63">
        <v>88.57</v>
      </c>
      <c r="R207" s="63">
        <v>22.22</v>
      </c>
      <c r="S207" s="63">
        <v>88.87</v>
      </c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5"/>
      <c r="AM207" s="56"/>
      <c r="AN207" s="65"/>
      <c r="AO207" s="55"/>
      <c r="AP207" s="56"/>
      <c r="AQ207" s="55"/>
      <c r="AR207" s="55"/>
    </row>
    <row r="208">
      <c r="A208" s="59" t="s">
        <v>17</v>
      </c>
      <c r="B208" s="59"/>
      <c r="C208" s="59">
        <v>22548.0</v>
      </c>
      <c r="D208" s="60" t="s">
        <v>381</v>
      </c>
      <c r="E208" s="61">
        <v>5.0</v>
      </c>
      <c r="F208" s="61">
        <v>1143.0</v>
      </c>
      <c r="G208" s="61">
        <v>1091.0</v>
      </c>
      <c r="H208" s="66">
        <v>0.1693287037037037</v>
      </c>
      <c r="I208" s="61">
        <v>3.0</v>
      </c>
      <c r="J208" s="63">
        <f t="shared" si="19"/>
        <v>0.6</v>
      </c>
      <c r="K208" s="63">
        <v>83.6</v>
      </c>
      <c r="L208" s="61" t="str">
        <f t="shared" si="20"/>
        <v>81-85</v>
      </c>
      <c r="M208" s="63"/>
      <c r="N208" s="63"/>
      <c r="O208" s="63"/>
      <c r="P208" s="63"/>
      <c r="Q208" s="63"/>
      <c r="R208" s="63"/>
      <c r="S208" s="63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5"/>
      <c r="AM208" s="56"/>
      <c r="AN208" s="65"/>
      <c r="AO208" s="55"/>
      <c r="AP208" s="56"/>
      <c r="AQ208" s="55"/>
      <c r="AR208" s="55"/>
    </row>
    <row r="209">
      <c r="A209" s="59" t="s">
        <v>17</v>
      </c>
      <c r="B209" s="59"/>
      <c r="C209" s="59">
        <v>22492.0</v>
      </c>
      <c r="D209" s="60" t="s">
        <v>382</v>
      </c>
      <c r="E209" s="61">
        <v>19.0</v>
      </c>
      <c r="F209" s="61">
        <v>6000.0</v>
      </c>
      <c r="G209" s="61">
        <v>4548.0</v>
      </c>
      <c r="H209" s="62">
        <v>0.17630787037037038</v>
      </c>
      <c r="I209" s="61">
        <v>38.0</v>
      </c>
      <c r="J209" s="63">
        <f t="shared" si="19"/>
        <v>2</v>
      </c>
      <c r="K209" s="63">
        <v>83.7</v>
      </c>
      <c r="L209" s="61" t="str">
        <f t="shared" si="20"/>
        <v>81-85</v>
      </c>
      <c r="M209" s="63">
        <v>73.56</v>
      </c>
      <c r="N209" s="63">
        <v>78.29</v>
      </c>
      <c r="O209" s="63"/>
      <c r="P209" s="63">
        <v>87.51</v>
      </c>
      <c r="Q209" s="63">
        <v>90.15</v>
      </c>
      <c r="R209" s="63">
        <v>13.33</v>
      </c>
      <c r="S209" s="63">
        <v>90.44</v>
      </c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5"/>
      <c r="AM209" s="56"/>
      <c r="AN209" s="65"/>
      <c r="AO209" s="55"/>
      <c r="AP209" s="56"/>
      <c r="AQ209" s="55"/>
      <c r="AR209" s="55"/>
    </row>
    <row r="210">
      <c r="A210" s="59" t="s">
        <v>17</v>
      </c>
      <c r="B210" s="59"/>
      <c r="C210" s="59" t="s">
        <v>383</v>
      </c>
      <c r="D210" s="60" t="s">
        <v>384</v>
      </c>
      <c r="E210" s="61">
        <v>18.0</v>
      </c>
      <c r="F210" s="61">
        <v>4084.0</v>
      </c>
      <c r="G210" s="61">
        <v>3060.0</v>
      </c>
      <c r="H210" s="62">
        <v>0.15175925925925926</v>
      </c>
      <c r="I210" s="61">
        <v>25.0</v>
      </c>
      <c r="J210" s="63">
        <f t="shared" si="19"/>
        <v>1.388888889</v>
      </c>
      <c r="K210" s="63">
        <v>83.76111111</v>
      </c>
      <c r="L210" s="61" t="str">
        <f t="shared" si="20"/>
        <v>81-85</v>
      </c>
      <c r="M210" s="63">
        <v>77.32</v>
      </c>
      <c r="N210" s="63">
        <v>76.32</v>
      </c>
      <c r="O210" s="63"/>
      <c r="P210" s="63">
        <v>86.99</v>
      </c>
      <c r="Q210" s="63">
        <v>89.55</v>
      </c>
      <c r="R210" s="63">
        <v>12.5</v>
      </c>
      <c r="S210" s="63">
        <v>88.77</v>
      </c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5"/>
      <c r="AM210" s="56"/>
      <c r="AN210" s="65"/>
      <c r="AO210" s="55"/>
      <c r="AP210" s="56"/>
      <c r="AQ210" s="55"/>
      <c r="AR210" s="55"/>
    </row>
    <row r="211">
      <c r="A211" s="59" t="s">
        <v>17</v>
      </c>
      <c r="B211" s="59"/>
      <c r="C211" s="59" t="s">
        <v>385</v>
      </c>
      <c r="D211" s="60" t="s">
        <v>386</v>
      </c>
      <c r="E211" s="61">
        <v>26.0</v>
      </c>
      <c r="F211" s="61">
        <v>8917.0</v>
      </c>
      <c r="G211" s="61">
        <v>8165.0</v>
      </c>
      <c r="H211" s="62">
        <v>0.1375810185185185</v>
      </c>
      <c r="I211" s="61">
        <v>77.0</v>
      </c>
      <c r="J211" s="63">
        <f t="shared" si="19"/>
        <v>2.961538462</v>
      </c>
      <c r="K211" s="63">
        <v>84.025</v>
      </c>
      <c r="L211" s="61" t="str">
        <f t="shared" si="20"/>
        <v>81-85</v>
      </c>
      <c r="M211" s="63">
        <v>77.51</v>
      </c>
      <c r="N211" s="63">
        <v>77.68</v>
      </c>
      <c r="O211" s="63"/>
      <c r="P211" s="63">
        <v>87.78</v>
      </c>
      <c r="Q211" s="63">
        <v>87.87</v>
      </c>
      <c r="R211" s="63">
        <v>13.33</v>
      </c>
      <c r="S211" s="63">
        <v>90.1</v>
      </c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5"/>
      <c r="AM211" s="56"/>
      <c r="AN211" s="65"/>
      <c r="AO211" s="55"/>
      <c r="AP211" s="56"/>
      <c r="AQ211" s="55"/>
      <c r="AR211" s="55"/>
    </row>
    <row r="212">
      <c r="A212" s="59" t="s">
        <v>17</v>
      </c>
      <c r="B212" s="59"/>
      <c r="C212" s="59">
        <v>22554.0</v>
      </c>
      <c r="D212" s="60" t="s">
        <v>387</v>
      </c>
      <c r="E212" s="61">
        <v>4.0</v>
      </c>
      <c r="F212" s="61">
        <v>1154.0</v>
      </c>
      <c r="G212" s="61">
        <v>1074.0</v>
      </c>
      <c r="H212" s="66">
        <v>0.1495138888888889</v>
      </c>
      <c r="I212" s="61">
        <v>3.0</v>
      </c>
      <c r="J212" s="63">
        <f t="shared" si="19"/>
        <v>0.75</v>
      </c>
      <c r="K212" s="63">
        <v>84.3</v>
      </c>
      <c r="L212" s="61" t="str">
        <f t="shared" si="20"/>
        <v>81-85</v>
      </c>
      <c r="M212" s="63"/>
      <c r="N212" s="63"/>
      <c r="O212" s="63"/>
      <c r="P212" s="63"/>
      <c r="Q212" s="63"/>
      <c r="R212" s="63"/>
      <c r="S212" s="63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5"/>
      <c r="AM212" s="56"/>
      <c r="AN212" s="65"/>
      <c r="AO212" s="55"/>
      <c r="AP212" s="56"/>
      <c r="AQ212" s="55"/>
      <c r="AR212" s="55"/>
    </row>
    <row r="213">
      <c r="A213" s="59" t="s">
        <v>17</v>
      </c>
      <c r="B213" s="59"/>
      <c r="C213" s="59">
        <v>22481.0</v>
      </c>
      <c r="D213" s="60" t="s">
        <v>388</v>
      </c>
      <c r="E213" s="61">
        <v>27.0</v>
      </c>
      <c r="F213" s="61">
        <v>8667.0</v>
      </c>
      <c r="G213" s="61">
        <v>6868.0</v>
      </c>
      <c r="H213" s="62">
        <v>0.19207175925925926</v>
      </c>
      <c r="I213" s="61">
        <v>42.0</v>
      </c>
      <c r="J213" s="63">
        <f t="shared" si="19"/>
        <v>1.555555556</v>
      </c>
      <c r="K213" s="63">
        <v>84.38888889</v>
      </c>
      <c r="L213" s="61" t="str">
        <f t="shared" si="20"/>
        <v>81-85</v>
      </c>
      <c r="M213" s="63">
        <v>79.37</v>
      </c>
      <c r="N213" s="63">
        <v>78.1</v>
      </c>
      <c r="O213" s="63"/>
      <c r="P213" s="63">
        <v>86.52</v>
      </c>
      <c r="Q213" s="63">
        <v>88.48</v>
      </c>
      <c r="R213" s="63">
        <v>0.0</v>
      </c>
      <c r="S213" s="63">
        <v>89.89</v>
      </c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5"/>
      <c r="AM213" s="56"/>
      <c r="AN213" s="65"/>
      <c r="AO213" s="55"/>
      <c r="AP213" s="56"/>
      <c r="AQ213" s="55"/>
      <c r="AR213" s="55"/>
    </row>
    <row r="214">
      <c r="A214" s="59" t="s">
        <v>17</v>
      </c>
      <c r="B214" s="59"/>
      <c r="C214" s="59">
        <v>22413.0</v>
      </c>
      <c r="D214" s="60" t="s">
        <v>389</v>
      </c>
      <c r="E214" s="61">
        <v>22.0</v>
      </c>
      <c r="F214" s="61">
        <v>7491.0</v>
      </c>
      <c r="G214" s="61">
        <v>5957.0</v>
      </c>
      <c r="H214" s="62">
        <v>0.15671296296296297</v>
      </c>
      <c r="I214" s="61">
        <v>43.0</v>
      </c>
      <c r="J214" s="63">
        <f t="shared" si="19"/>
        <v>1.954545455</v>
      </c>
      <c r="K214" s="63">
        <v>84.41818182</v>
      </c>
      <c r="L214" s="61" t="str">
        <f t="shared" si="20"/>
        <v>81-85</v>
      </c>
      <c r="M214" s="63">
        <v>76.47</v>
      </c>
      <c r="N214" s="63">
        <v>79.16</v>
      </c>
      <c r="O214" s="63"/>
      <c r="P214" s="63">
        <v>87.99</v>
      </c>
      <c r="Q214" s="63">
        <v>90.62</v>
      </c>
      <c r="R214" s="63">
        <v>14.29</v>
      </c>
      <c r="S214" s="63">
        <v>90.62</v>
      </c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5"/>
      <c r="AM214" s="56"/>
      <c r="AN214" s="65"/>
      <c r="AO214" s="55"/>
      <c r="AP214" s="56"/>
      <c r="AQ214" s="55"/>
      <c r="AR214" s="55"/>
    </row>
    <row r="215">
      <c r="A215" s="59" t="s">
        <v>17</v>
      </c>
      <c r="B215" s="59"/>
      <c r="C215" s="59">
        <v>22293.0</v>
      </c>
      <c r="D215" s="60" t="s">
        <v>390</v>
      </c>
      <c r="E215" s="61">
        <v>26.0</v>
      </c>
      <c r="F215" s="61">
        <v>6213.0</v>
      </c>
      <c r="G215" s="61">
        <v>5145.0</v>
      </c>
      <c r="H215" s="62">
        <v>0.15814814814814815</v>
      </c>
      <c r="I215" s="61">
        <v>60.0</v>
      </c>
      <c r="J215" s="63">
        <f t="shared" si="19"/>
        <v>2.307692308</v>
      </c>
      <c r="K215" s="63">
        <v>84.59615385</v>
      </c>
      <c r="L215" s="61" t="str">
        <f t="shared" si="20"/>
        <v>81-85</v>
      </c>
      <c r="M215" s="63">
        <v>79.19</v>
      </c>
      <c r="N215" s="63">
        <v>76.69</v>
      </c>
      <c r="O215" s="63"/>
      <c r="P215" s="63">
        <v>88.75</v>
      </c>
      <c r="Q215" s="63">
        <v>89.83</v>
      </c>
      <c r="R215" s="63">
        <v>33.33</v>
      </c>
      <c r="S215" s="63">
        <v>90.94</v>
      </c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5"/>
      <c r="AM215" s="56"/>
      <c r="AN215" s="65"/>
      <c r="AO215" s="55"/>
      <c r="AP215" s="56"/>
      <c r="AQ215" s="55"/>
      <c r="AR215" s="55"/>
    </row>
    <row r="216">
      <c r="A216" s="59" t="s">
        <v>17</v>
      </c>
      <c r="B216" s="59"/>
      <c r="C216" s="59">
        <v>22303.0</v>
      </c>
      <c r="D216" s="60" t="s">
        <v>391</v>
      </c>
      <c r="E216" s="61">
        <v>27.0</v>
      </c>
      <c r="F216" s="61">
        <v>7440.0</v>
      </c>
      <c r="G216" s="61">
        <v>5463.0</v>
      </c>
      <c r="H216" s="62">
        <v>0.18762731481481482</v>
      </c>
      <c r="I216" s="61">
        <v>49.0</v>
      </c>
      <c r="J216" s="63">
        <f t="shared" si="19"/>
        <v>1.814814815</v>
      </c>
      <c r="K216" s="63">
        <v>84.77777778</v>
      </c>
      <c r="L216" s="61" t="str">
        <f t="shared" si="20"/>
        <v>81-85</v>
      </c>
      <c r="M216" s="63">
        <v>79.04</v>
      </c>
      <c r="N216" s="63">
        <v>78.62</v>
      </c>
      <c r="O216" s="63"/>
      <c r="P216" s="63">
        <v>87.67</v>
      </c>
      <c r="Q216" s="63">
        <v>89.41</v>
      </c>
      <c r="R216" s="63">
        <v>11.67</v>
      </c>
      <c r="S216" s="63">
        <v>90.38</v>
      </c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5"/>
      <c r="AM216" s="56"/>
      <c r="AN216" s="65"/>
      <c r="AO216" s="55"/>
      <c r="AP216" s="56"/>
      <c r="AQ216" s="55"/>
      <c r="AR216" s="55"/>
    </row>
    <row r="217">
      <c r="A217" s="59" t="s">
        <v>17</v>
      </c>
      <c r="B217" s="59"/>
      <c r="C217" s="59">
        <v>22549.0</v>
      </c>
      <c r="D217" s="60" t="s">
        <v>392</v>
      </c>
      <c r="E217" s="61">
        <v>5.0</v>
      </c>
      <c r="F217" s="61">
        <v>1533.0</v>
      </c>
      <c r="G217" s="61">
        <v>1407.0</v>
      </c>
      <c r="H217" s="66">
        <v>0.15903935185185186</v>
      </c>
      <c r="I217" s="61">
        <v>5.0</v>
      </c>
      <c r="J217" s="63">
        <f t="shared" si="19"/>
        <v>1</v>
      </c>
      <c r="K217" s="63">
        <v>84.8</v>
      </c>
      <c r="L217" s="61" t="str">
        <f t="shared" si="20"/>
        <v>81-85</v>
      </c>
      <c r="M217" s="63"/>
      <c r="N217" s="63"/>
      <c r="O217" s="63"/>
      <c r="P217" s="63"/>
      <c r="Q217" s="63"/>
      <c r="R217" s="63"/>
      <c r="S217" s="63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5"/>
      <c r="AM217" s="56"/>
      <c r="AN217" s="65"/>
      <c r="AO217" s="55"/>
      <c r="AP217" s="56"/>
      <c r="AQ217" s="55"/>
      <c r="AR217" s="55"/>
    </row>
    <row r="218">
      <c r="A218" s="59" t="s">
        <v>17</v>
      </c>
      <c r="B218" s="59"/>
      <c r="C218" s="59">
        <v>22455.0</v>
      </c>
      <c r="D218" s="60" t="s">
        <v>393</v>
      </c>
      <c r="E218" s="61">
        <v>25.0</v>
      </c>
      <c r="F218" s="61">
        <v>7090.0</v>
      </c>
      <c r="G218" s="61">
        <v>5860.0</v>
      </c>
      <c r="H218" s="62">
        <v>0.15083333333333335</v>
      </c>
      <c r="I218" s="61">
        <v>43.0</v>
      </c>
      <c r="J218" s="63">
        <f t="shared" si="19"/>
        <v>1.72</v>
      </c>
      <c r="K218" s="63">
        <v>84.844</v>
      </c>
      <c r="L218" s="61" t="str">
        <f t="shared" si="20"/>
        <v>81-85</v>
      </c>
      <c r="M218" s="63">
        <v>79.29</v>
      </c>
      <c r="N218" s="63">
        <v>77.84</v>
      </c>
      <c r="O218" s="63"/>
      <c r="P218" s="63">
        <v>88.06</v>
      </c>
      <c r="Q218" s="63">
        <v>90.01</v>
      </c>
      <c r="R218" s="63">
        <v>5.56</v>
      </c>
      <c r="S218" s="63">
        <v>90.96</v>
      </c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5"/>
      <c r="AM218" s="56"/>
      <c r="AN218" s="65"/>
      <c r="AO218" s="55"/>
      <c r="AP218" s="56"/>
      <c r="AQ218" s="55"/>
      <c r="AR218" s="55"/>
    </row>
    <row r="219">
      <c r="A219" s="59" t="s">
        <v>17</v>
      </c>
      <c r="B219" s="59"/>
      <c r="C219" s="59">
        <v>22142.0</v>
      </c>
      <c r="D219" s="60" t="s">
        <v>394</v>
      </c>
      <c r="E219" s="61">
        <v>25.0</v>
      </c>
      <c r="F219" s="61">
        <v>6151.0</v>
      </c>
      <c r="G219" s="61">
        <v>4888.0</v>
      </c>
      <c r="H219" s="62">
        <v>0.17568287037037036</v>
      </c>
      <c r="I219" s="61">
        <v>46.0</v>
      </c>
      <c r="J219" s="63">
        <f t="shared" si="19"/>
        <v>1.84</v>
      </c>
      <c r="K219" s="63">
        <v>85.024</v>
      </c>
      <c r="L219" s="61" t="str">
        <f t="shared" si="20"/>
        <v>85-90</v>
      </c>
      <c r="M219" s="63">
        <v>78.58</v>
      </c>
      <c r="N219" s="63">
        <v>77.59</v>
      </c>
      <c r="O219" s="63"/>
      <c r="P219" s="63">
        <v>87.75</v>
      </c>
      <c r="Q219" s="63">
        <v>91.01</v>
      </c>
      <c r="R219" s="63">
        <v>0.0</v>
      </c>
      <c r="S219" s="63">
        <v>90.76</v>
      </c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5"/>
      <c r="AM219" s="56"/>
      <c r="AN219" s="65"/>
      <c r="AO219" s="55"/>
      <c r="AP219" s="56"/>
      <c r="AQ219" s="55"/>
      <c r="AR219" s="55"/>
    </row>
    <row r="220">
      <c r="A220" s="59" t="s">
        <v>17</v>
      </c>
      <c r="B220" s="59"/>
      <c r="C220" s="59" t="s">
        <v>395</v>
      </c>
      <c r="D220" s="60" t="s">
        <v>396</v>
      </c>
      <c r="E220" s="61">
        <v>20.0</v>
      </c>
      <c r="F220" s="61">
        <v>6080.0</v>
      </c>
      <c r="G220" s="61">
        <v>5198.0</v>
      </c>
      <c r="H220" s="62">
        <v>0.16518518518518518</v>
      </c>
      <c r="I220" s="61">
        <v>34.0</v>
      </c>
      <c r="J220" s="63">
        <f t="shared" si="19"/>
        <v>1.7</v>
      </c>
      <c r="K220" s="63">
        <v>85.075</v>
      </c>
      <c r="L220" s="61" t="str">
        <f t="shared" si="20"/>
        <v>85-90</v>
      </c>
      <c r="M220" s="63">
        <v>79.62</v>
      </c>
      <c r="N220" s="63">
        <v>77.73</v>
      </c>
      <c r="O220" s="63"/>
      <c r="P220" s="63">
        <v>87.41</v>
      </c>
      <c r="Q220" s="63">
        <v>89.89</v>
      </c>
      <c r="R220" s="63">
        <v>4.17</v>
      </c>
      <c r="S220" s="63">
        <v>91.55</v>
      </c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5"/>
      <c r="AM220" s="56"/>
      <c r="AN220" s="65"/>
      <c r="AO220" s="55"/>
      <c r="AP220" s="56"/>
      <c r="AQ220" s="55"/>
      <c r="AR220" s="55"/>
    </row>
    <row r="221">
      <c r="A221" s="59" t="s">
        <v>17</v>
      </c>
      <c r="B221" s="59"/>
      <c r="C221" s="59" t="s">
        <v>397</v>
      </c>
      <c r="D221" s="60" t="s">
        <v>398</v>
      </c>
      <c r="E221" s="61">
        <v>24.0</v>
      </c>
      <c r="F221" s="61">
        <v>5842.0</v>
      </c>
      <c r="G221" s="61">
        <v>4921.0</v>
      </c>
      <c r="H221" s="62">
        <v>0.1622685185185185</v>
      </c>
      <c r="I221" s="61">
        <v>36.0</v>
      </c>
      <c r="J221" s="63">
        <f t="shared" si="19"/>
        <v>1.5</v>
      </c>
      <c r="K221" s="63">
        <v>85.14166667</v>
      </c>
      <c r="L221" s="61" t="str">
        <f t="shared" si="20"/>
        <v>85-90</v>
      </c>
      <c r="M221" s="63">
        <v>79.12</v>
      </c>
      <c r="N221" s="63">
        <v>79.09</v>
      </c>
      <c r="O221" s="63"/>
      <c r="P221" s="63">
        <v>88.85</v>
      </c>
      <c r="Q221" s="63">
        <v>90.53</v>
      </c>
      <c r="R221" s="63">
        <v>6.67</v>
      </c>
      <c r="S221" s="63">
        <v>91.39</v>
      </c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5"/>
      <c r="AM221" s="56"/>
      <c r="AN221" s="65"/>
      <c r="AO221" s="55"/>
      <c r="AP221" s="56"/>
      <c r="AQ221" s="55"/>
      <c r="AR221" s="55"/>
    </row>
    <row r="222">
      <c r="A222" s="59" t="s">
        <v>17</v>
      </c>
      <c r="B222" s="59"/>
      <c r="C222" s="59">
        <v>22491.0</v>
      </c>
      <c r="D222" s="60" t="s">
        <v>399</v>
      </c>
      <c r="E222" s="61">
        <v>27.0</v>
      </c>
      <c r="F222" s="61">
        <v>8193.0</v>
      </c>
      <c r="G222" s="61">
        <v>5992.0</v>
      </c>
      <c r="H222" s="62">
        <v>0.16652777777777777</v>
      </c>
      <c r="I222" s="61">
        <v>64.0</v>
      </c>
      <c r="J222" s="63">
        <f t="shared" si="19"/>
        <v>2.37037037</v>
      </c>
      <c r="K222" s="63">
        <v>85.14444444</v>
      </c>
      <c r="L222" s="61" t="str">
        <f t="shared" si="20"/>
        <v>85-90</v>
      </c>
      <c r="M222" s="63">
        <v>76.98</v>
      </c>
      <c r="N222" s="63">
        <v>79.86</v>
      </c>
      <c r="O222" s="63"/>
      <c r="P222" s="63">
        <v>88.16</v>
      </c>
      <c r="Q222" s="63">
        <v>90.59</v>
      </c>
      <c r="R222" s="63">
        <v>16.67</v>
      </c>
      <c r="S222" s="63">
        <v>90.48</v>
      </c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5"/>
      <c r="AM222" s="56"/>
      <c r="AN222" s="65"/>
      <c r="AO222" s="55"/>
      <c r="AP222" s="56"/>
      <c r="AQ222" s="55"/>
      <c r="AR222" s="55"/>
    </row>
    <row r="223">
      <c r="A223" s="59" t="s">
        <v>17</v>
      </c>
      <c r="B223" s="59"/>
      <c r="C223" s="59">
        <v>22445.0</v>
      </c>
      <c r="D223" s="60" t="s">
        <v>400</v>
      </c>
      <c r="E223" s="61">
        <v>25.0</v>
      </c>
      <c r="F223" s="61">
        <v>7652.0</v>
      </c>
      <c r="G223" s="61">
        <v>7102.0</v>
      </c>
      <c r="H223" s="62">
        <v>0.14510416666666667</v>
      </c>
      <c r="I223" s="61">
        <v>58.0</v>
      </c>
      <c r="J223" s="63">
        <f t="shared" si="19"/>
        <v>2.32</v>
      </c>
      <c r="K223" s="63">
        <v>85.188</v>
      </c>
      <c r="L223" s="61" t="str">
        <f t="shared" si="20"/>
        <v>85-90</v>
      </c>
      <c r="M223" s="63">
        <v>75.26</v>
      </c>
      <c r="N223" s="63">
        <v>76.52</v>
      </c>
      <c r="O223" s="63"/>
      <c r="P223" s="63">
        <v>89.73</v>
      </c>
      <c r="Q223" s="63">
        <v>91.24</v>
      </c>
      <c r="R223" s="63">
        <v>7.14</v>
      </c>
      <c r="S223" s="63">
        <v>92.52</v>
      </c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5"/>
      <c r="AM223" s="56"/>
      <c r="AN223" s="65"/>
      <c r="AO223" s="55"/>
      <c r="AP223" s="56"/>
      <c r="AQ223" s="55"/>
      <c r="AR223" s="55"/>
    </row>
    <row r="224">
      <c r="A224" s="59" t="s">
        <v>17</v>
      </c>
      <c r="B224" s="59"/>
      <c r="C224" s="59" t="s">
        <v>401</v>
      </c>
      <c r="D224" s="60" t="s">
        <v>402</v>
      </c>
      <c r="E224" s="61">
        <v>24.0</v>
      </c>
      <c r="F224" s="61">
        <v>8116.0</v>
      </c>
      <c r="G224" s="61">
        <v>6975.0</v>
      </c>
      <c r="H224" s="62">
        <v>0.16239583333333332</v>
      </c>
      <c r="I224" s="61">
        <v>38.0</v>
      </c>
      <c r="J224" s="63">
        <f t="shared" si="19"/>
        <v>1.583333333</v>
      </c>
      <c r="K224" s="63">
        <v>85.23809524</v>
      </c>
      <c r="L224" s="61" t="str">
        <f t="shared" si="20"/>
        <v>85-90</v>
      </c>
      <c r="M224" s="63">
        <v>78.12</v>
      </c>
      <c r="N224" s="63">
        <v>81.6</v>
      </c>
      <c r="O224" s="63"/>
      <c r="P224" s="63">
        <v>87.53</v>
      </c>
      <c r="Q224" s="63">
        <v>88.41</v>
      </c>
      <c r="R224" s="63">
        <v>12.5</v>
      </c>
      <c r="S224" s="63">
        <v>90.12</v>
      </c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5"/>
      <c r="AM224" s="56"/>
      <c r="AN224" s="65"/>
      <c r="AO224" s="55"/>
      <c r="AP224" s="56"/>
      <c r="AQ224" s="55"/>
      <c r="AR224" s="55"/>
    </row>
    <row r="225">
      <c r="A225" s="59" t="s">
        <v>17</v>
      </c>
      <c r="B225" s="59"/>
      <c r="C225" s="59">
        <v>22553.0</v>
      </c>
      <c r="D225" s="60" t="s">
        <v>403</v>
      </c>
      <c r="E225" s="61">
        <v>5.0</v>
      </c>
      <c r="F225" s="61">
        <v>1341.0</v>
      </c>
      <c r="G225" s="61">
        <v>1230.0</v>
      </c>
      <c r="H225" s="66">
        <v>0.16289351851851852</v>
      </c>
      <c r="I225" s="61">
        <v>4.0</v>
      </c>
      <c r="J225" s="63">
        <f t="shared" si="19"/>
        <v>0.8</v>
      </c>
      <c r="K225" s="63">
        <v>85.35</v>
      </c>
      <c r="L225" s="61" t="str">
        <f t="shared" si="20"/>
        <v>85-90</v>
      </c>
      <c r="M225" s="63"/>
      <c r="N225" s="63"/>
      <c r="O225" s="63"/>
      <c r="P225" s="63"/>
      <c r="Q225" s="63"/>
      <c r="R225" s="63"/>
      <c r="S225" s="63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5"/>
      <c r="AM225" s="56"/>
      <c r="AN225" s="65"/>
      <c r="AO225" s="55"/>
      <c r="AP225" s="56"/>
      <c r="AQ225" s="55"/>
      <c r="AR225" s="55"/>
    </row>
    <row r="226">
      <c r="A226" s="59" t="s">
        <v>17</v>
      </c>
      <c r="B226" s="59"/>
      <c r="C226" s="59">
        <v>22486.0</v>
      </c>
      <c r="D226" s="60" t="s">
        <v>404</v>
      </c>
      <c r="E226" s="61">
        <v>24.0</v>
      </c>
      <c r="F226" s="61">
        <v>6798.0</v>
      </c>
      <c r="G226" s="61">
        <v>5588.0</v>
      </c>
      <c r="H226" s="62">
        <v>0.15325231481481483</v>
      </c>
      <c r="I226" s="61">
        <v>28.0</v>
      </c>
      <c r="J226" s="63">
        <f t="shared" si="19"/>
        <v>1.166666667</v>
      </c>
      <c r="K226" s="63">
        <v>85.452</v>
      </c>
      <c r="L226" s="61" t="str">
        <f t="shared" si="20"/>
        <v>85-90</v>
      </c>
      <c r="M226" s="63">
        <v>75.84</v>
      </c>
      <c r="N226" s="63">
        <v>78.79</v>
      </c>
      <c r="O226" s="63"/>
      <c r="P226" s="63">
        <v>89.22</v>
      </c>
      <c r="Q226" s="63">
        <v>91.33</v>
      </c>
      <c r="R226" s="63">
        <v>0.0</v>
      </c>
      <c r="S226" s="63">
        <v>91.94</v>
      </c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5"/>
      <c r="AM226" s="56"/>
      <c r="AN226" s="65"/>
      <c r="AO226" s="55"/>
      <c r="AP226" s="56"/>
      <c r="AQ226" s="55"/>
      <c r="AR226" s="55"/>
    </row>
    <row r="227">
      <c r="A227" s="59" t="s">
        <v>17</v>
      </c>
      <c r="B227" s="59"/>
      <c r="C227" s="59" t="s">
        <v>405</v>
      </c>
      <c r="D227" s="60" t="s">
        <v>406</v>
      </c>
      <c r="E227" s="61">
        <v>24.0</v>
      </c>
      <c r="F227" s="61">
        <v>8034.0</v>
      </c>
      <c r="G227" s="61">
        <v>6932.0</v>
      </c>
      <c r="H227" s="62">
        <v>0.1844560185185185</v>
      </c>
      <c r="I227" s="61">
        <v>62.0</v>
      </c>
      <c r="J227" s="63">
        <f t="shared" si="19"/>
        <v>2.583333333</v>
      </c>
      <c r="K227" s="63">
        <v>85.69583333</v>
      </c>
      <c r="L227" s="61" t="str">
        <f t="shared" si="20"/>
        <v>85-90</v>
      </c>
      <c r="M227" s="63">
        <v>79.49</v>
      </c>
      <c r="N227" s="63">
        <v>80.19</v>
      </c>
      <c r="O227" s="63"/>
      <c r="P227" s="63">
        <v>88.75</v>
      </c>
      <c r="Q227" s="63">
        <v>90.78</v>
      </c>
      <c r="R227" s="63">
        <v>10.0</v>
      </c>
      <c r="S227" s="63">
        <v>91.59</v>
      </c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5"/>
      <c r="AM227" s="56"/>
      <c r="AN227" s="65"/>
      <c r="AO227" s="55"/>
      <c r="AP227" s="56"/>
      <c r="AQ227" s="55"/>
      <c r="AR227" s="55"/>
    </row>
    <row r="228">
      <c r="A228" s="59" t="s">
        <v>17</v>
      </c>
      <c r="B228" s="59"/>
      <c r="C228" s="59" t="s">
        <v>407</v>
      </c>
      <c r="D228" s="60" t="s">
        <v>408</v>
      </c>
      <c r="E228" s="61">
        <v>26.0</v>
      </c>
      <c r="F228" s="61">
        <v>7456.0</v>
      </c>
      <c r="G228" s="61">
        <v>6102.0</v>
      </c>
      <c r="H228" s="62">
        <v>0.1609722222222222</v>
      </c>
      <c r="I228" s="61">
        <v>33.0</v>
      </c>
      <c r="J228" s="63">
        <f t="shared" si="19"/>
        <v>1.269230769</v>
      </c>
      <c r="K228" s="63">
        <v>85.71363636</v>
      </c>
      <c r="L228" s="61" t="str">
        <f t="shared" si="20"/>
        <v>85-90</v>
      </c>
      <c r="M228" s="63">
        <v>80.43</v>
      </c>
      <c r="N228" s="63">
        <v>78.01</v>
      </c>
      <c r="O228" s="63"/>
      <c r="P228" s="63">
        <v>88.1</v>
      </c>
      <c r="Q228" s="63">
        <v>90.0</v>
      </c>
      <c r="R228" s="63">
        <v>22.73</v>
      </c>
      <c r="S228" s="63">
        <v>90.62</v>
      </c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5"/>
      <c r="AM228" s="56"/>
      <c r="AN228" s="65"/>
      <c r="AO228" s="55"/>
      <c r="AP228" s="56"/>
      <c r="AQ228" s="55"/>
      <c r="AR228" s="55"/>
    </row>
    <row r="229">
      <c r="A229" s="59" t="s">
        <v>17</v>
      </c>
      <c r="B229" s="59"/>
      <c r="C229" s="59" t="s">
        <v>409</v>
      </c>
      <c r="D229" s="60" t="s">
        <v>410</v>
      </c>
      <c r="E229" s="61">
        <v>26.0</v>
      </c>
      <c r="F229" s="61">
        <v>7506.0</v>
      </c>
      <c r="G229" s="61">
        <v>6355.0</v>
      </c>
      <c r="H229" s="62">
        <v>0.15113425925925925</v>
      </c>
      <c r="I229" s="61">
        <v>33.0</v>
      </c>
      <c r="J229" s="63">
        <f t="shared" si="19"/>
        <v>1.269230769</v>
      </c>
      <c r="K229" s="63">
        <v>85.72272727</v>
      </c>
      <c r="L229" s="61" t="str">
        <f t="shared" si="20"/>
        <v>85-90</v>
      </c>
      <c r="M229" s="63">
        <v>78.2</v>
      </c>
      <c r="N229" s="63">
        <v>82.28</v>
      </c>
      <c r="O229" s="63"/>
      <c r="P229" s="63">
        <v>88.03</v>
      </c>
      <c r="Q229" s="63">
        <v>90.64</v>
      </c>
      <c r="R229" s="63">
        <v>16.67</v>
      </c>
      <c r="S229" s="63">
        <v>91.16</v>
      </c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5"/>
      <c r="AM229" s="56"/>
      <c r="AN229" s="65"/>
      <c r="AO229" s="55"/>
      <c r="AP229" s="56"/>
      <c r="AQ229" s="55"/>
      <c r="AR229" s="55"/>
    </row>
    <row r="230">
      <c r="A230" s="59" t="s">
        <v>17</v>
      </c>
      <c r="B230" s="59"/>
      <c r="C230" s="59" t="s">
        <v>411</v>
      </c>
      <c r="D230" s="60" t="s">
        <v>412</v>
      </c>
      <c r="E230" s="61">
        <v>18.0</v>
      </c>
      <c r="F230" s="61">
        <v>4976.0</v>
      </c>
      <c r="G230" s="61">
        <v>4426.0</v>
      </c>
      <c r="H230" s="62">
        <v>0.16578703703703704</v>
      </c>
      <c r="I230" s="61">
        <v>64.0</v>
      </c>
      <c r="J230" s="63">
        <f t="shared" si="19"/>
        <v>3.555555556</v>
      </c>
      <c r="K230" s="63">
        <v>85.78888889</v>
      </c>
      <c r="L230" s="61" t="str">
        <f t="shared" si="20"/>
        <v>85-90</v>
      </c>
      <c r="M230" s="63"/>
      <c r="N230" s="63"/>
      <c r="O230" s="63"/>
      <c r="P230" s="63"/>
      <c r="Q230" s="63"/>
      <c r="R230" s="63"/>
      <c r="S230" s="63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5"/>
      <c r="AM230" s="56"/>
      <c r="AN230" s="65"/>
      <c r="AO230" s="55"/>
      <c r="AP230" s="56"/>
      <c r="AQ230" s="55"/>
      <c r="AR230" s="55"/>
    </row>
    <row r="231">
      <c r="A231" s="59" t="s">
        <v>17</v>
      </c>
      <c r="B231" s="59"/>
      <c r="C231" s="59">
        <v>22449.0</v>
      </c>
      <c r="D231" s="60" t="s">
        <v>413</v>
      </c>
      <c r="E231" s="61">
        <v>25.0</v>
      </c>
      <c r="F231" s="61">
        <v>5905.0</v>
      </c>
      <c r="G231" s="61">
        <v>4254.0</v>
      </c>
      <c r="H231" s="62">
        <v>0.19063657407407408</v>
      </c>
      <c r="I231" s="61">
        <v>55.0</v>
      </c>
      <c r="J231" s="63">
        <f t="shared" si="19"/>
        <v>2.2</v>
      </c>
      <c r="K231" s="63">
        <v>85.82</v>
      </c>
      <c r="L231" s="61" t="str">
        <f t="shared" si="20"/>
        <v>85-90</v>
      </c>
      <c r="M231" s="63">
        <v>79.31</v>
      </c>
      <c r="N231" s="63">
        <v>82.32</v>
      </c>
      <c r="O231" s="63"/>
      <c r="P231" s="63">
        <v>88.0</v>
      </c>
      <c r="Q231" s="63">
        <v>89.56</v>
      </c>
      <c r="R231" s="63">
        <v>10.0</v>
      </c>
      <c r="S231" s="63">
        <v>90.71</v>
      </c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5"/>
      <c r="AM231" s="56"/>
      <c r="AN231" s="65"/>
      <c r="AO231" s="55"/>
      <c r="AP231" s="56"/>
      <c r="AQ231" s="55"/>
      <c r="AR231" s="55"/>
    </row>
    <row r="232">
      <c r="A232" s="59" t="s">
        <v>17</v>
      </c>
      <c r="B232" s="59"/>
      <c r="C232" s="59">
        <v>22119.0</v>
      </c>
      <c r="D232" s="60" t="s">
        <v>414</v>
      </c>
      <c r="E232" s="61">
        <v>23.0</v>
      </c>
      <c r="F232" s="61">
        <v>5587.0</v>
      </c>
      <c r="G232" s="61">
        <v>4151.0</v>
      </c>
      <c r="H232" s="62">
        <v>0.17474537037037038</v>
      </c>
      <c r="I232" s="61">
        <v>27.0</v>
      </c>
      <c r="J232" s="63">
        <f t="shared" si="19"/>
        <v>1.173913043</v>
      </c>
      <c r="K232" s="63">
        <v>85.92173913</v>
      </c>
      <c r="L232" s="61" t="str">
        <f t="shared" si="20"/>
        <v>85-90</v>
      </c>
      <c r="M232" s="63">
        <v>80.19</v>
      </c>
      <c r="N232" s="63">
        <v>80.81</v>
      </c>
      <c r="O232" s="63"/>
      <c r="P232" s="63">
        <v>88.47</v>
      </c>
      <c r="Q232" s="63">
        <v>90.6</v>
      </c>
      <c r="R232" s="63">
        <v>29.17</v>
      </c>
      <c r="S232" s="63">
        <v>90.63</v>
      </c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5"/>
      <c r="AM232" s="56"/>
      <c r="AN232" s="65"/>
      <c r="AO232" s="55"/>
      <c r="AP232" s="56"/>
      <c r="AQ232" s="55"/>
      <c r="AR232" s="55"/>
    </row>
    <row r="233">
      <c r="A233" s="59" t="s">
        <v>17</v>
      </c>
      <c r="B233" s="59"/>
      <c r="C233" s="59">
        <v>22485.0</v>
      </c>
      <c r="D233" s="60" t="s">
        <v>415</v>
      </c>
      <c r="E233" s="61">
        <v>4.0</v>
      </c>
      <c r="F233" s="61">
        <v>1186.0</v>
      </c>
      <c r="G233" s="61">
        <v>1038.0</v>
      </c>
      <c r="H233" s="66">
        <v>0.18773148148148147</v>
      </c>
      <c r="I233" s="61">
        <v>8.0</v>
      </c>
      <c r="J233" s="63">
        <f t="shared" si="19"/>
        <v>2</v>
      </c>
      <c r="K233" s="63">
        <v>86.03333333</v>
      </c>
      <c r="L233" s="61" t="str">
        <f t="shared" si="20"/>
        <v>85-90</v>
      </c>
      <c r="M233" s="63">
        <v>83.2</v>
      </c>
      <c r="N233" s="63">
        <v>76.88</v>
      </c>
      <c r="O233" s="63"/>
      <c r="P233" s="63">
        <v>88.96</v>
      </c>
      <c r="Q233" s="63">
        <v>90.7</v>
      </c>
      <c r="R233" s="63"/>
      <c r="S233" s="63">
        <v>90.53</v>
      </c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5"/>
      <c r="AM233" s="56"/>
      <c r="AN233" s="65"/>
      <c r="AO233" s="55"/>
      <c r="AP233" s="56"/>
      <c r="AQ233" s="55"/>
      <c r="AR233" s="55"/>
    </row>
    <row r="234">
      <c r="A234" s="59" t="s">
        <v>17</v>
      </c>
      <c r="B234" s="59"/>
      <c r="C234" s="59" t="s">
        <v>416</v>
      </c>
      <c r="D234" s="60" t="s">
        <v>417</v>
      </c>
      <c r="E234" s="61">
        <v>27.0</v>
      </c>
      <c r="F234" s="61">
        <v>6596.0</v>
      </c>
      <c r="G234" s="61">
        <v>4574.0</v>
      </c>
      <c r="H234" s="62">
        <v>0.17333333333333334</v>
      </c>
      <c r="I234" s="61">
        <v>64.0</v>
      </c>
      <c r="J234" s="63">
        <f t="shared" si="19"/>
        <v>2.37037037</v>
      </c>
      <c r="K234" s="63">
        <v>86.33333333</v>
      </c>
      <c r="L234" s="61" t="str">
        <f t="shared" si="20"/>
        <v>85-90</v>
      </c>
      <c r="M234" s="63">
        <v>80.33</v>
      </c>
      <c r="N234" s="63">
        <v>81.05</v>
      </c>
      <c r="O234" s="63"/>
      <c r="P234" s="63">
        <v>89.11</v>
      </c>
      <c r="Q234" s="63">
        <v>90.48</v>
      </c>
      <c r="R234" s="63">
        <v>6.67</v>
      </c>
      <c r="S234" s="63">
        <v>91.86</v>
      </c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5"/>
      <c r="AM234" s="56"/>
      <c r="AN234" s="65"/>
      <c r="AO234" s="55"/>
      <c r="AP234" s="56"/>
      <c r="AQ234" s="55"/>
      <c r="AR234" s="55"/>
    </row>
    <row r="235">
      <c r="A235" s="59" t="s">
        <v>17</v>
      </c>
      <c r="B235" s="59"/>
      <c r="C235" s="59">
        <v>20883.0</v>
      </c>
      <c r="D235" s="60" t="s">
        <v>418</v>
      </c>
      <c r="E235" s="61">
        <v>26.0</v>
      </c>
      <c r="F235" s="61">
        <v>7148.0</v>
      </c>
      <c r="G235" s="61">
        <v>5037.0</v>
      </c>
      <c r="H235" s="62">
        <v>0.19859953703703703</v>
      </c>
      <c r="I235" s="61">
        <v>56.0</v>
      </c>
      <c r="J235" s="63">
        <f t="shared" si="19"/>
        <v>2.153846154</v>
      </c>
      <c r="K235" s="63">
        <v>86.36153846</v>
      </c>
      <c r="L235" s="61" t="str">
        <f t="shared" si="20"/>
        <v>85-90</v>
      </c>
      <c r="M235" s="63">
        <v>80.78</v>
      </c>
      <c r="N235" s="63">
        <v>83.14</v>
      </c>
      <c r="O235" s="63"/>
      <c r="P235" s="63">
        <v>87.98</v>
      </c>
      <c r="Q235" s="63">
        <v>90.59</v>
      </c>
      <c r="R235" s="63">
        <v>8.33</v>
      </c>
      <c r="S235" s="63">
        <v>91.03</v>
      </c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5"/>
      <c r="AM235" s="56"/>
      <c r="AN235" s="65"/>
      <c r="AO235" s="55"/>
      <c r="AP235" s="56"/>
      <c r="AQ235" s="55"/>
      <c r="AR235" s="55"/>
    </row>
    <row r="236">
      <c r="A236" s="59" t="s">
        <v>17</v>
      </c>
      <c r="B236" s="59"/>
      <c r="C236" s="59">
        <v>22551.0</v>
      </c>
      <c r="D236" s="60" t="s">
        <v>419</v>
      </c>
      <c r="E236" s="61">
        <v>4.0</v>
      </c>
      <c r="F236" s="61">
        <v>806.0</v>
      </c>
      <c r="G236" s="61">
        <v>785.0</v>
      </c>
      <c r="H236" s="66">
        <v>0.13527777777777777</v>
      </c>
      <c r="I236" s="61">
        <v>4.0</v>
      </c>
      <c r="J236" s="63">
        <f t="shared" si="19"/>
        <v>1</v>
      </c>
      <c r="K236" s="63">
        <v>86.36666667</v>
      </c>
      <c r="L236" s="61" t="str">
        <f t="shared" si="20"/>
        <v>85-90</v>
      </c>
      <c r="M236" s="63"/>
      <c r="N236" s="63"/>
      <c r="O236" s="63"/>
      <c r="P236" s="63"/>
      <c r="Q236" s="63"/>
      <c r="R236" s="63"/>
      <c r="S236" s="63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5"/>
      <c r="AM236" s="56"/>
      <c r="AN236" s="65"/>
      <c r="AO236" s="55"/>
      <c r="AP236" s="56"/>
      <c r="AQ236" s="55"/>
      <c r="AR236" s="55"/>
    </row>
    <row r="237">
      <c r="A237" s="59" t="s">
        <v>17</v>
      </c>
      <c r="B237" s="59"/>
      <c r="C237" s="59" t="s">
        <v>420</v>
      </c>
      <c r="D237" s="60" t="s">
        <v>421</v>
      </c>
      <c r="E237" s="61">
        <v>26.0</v>
      </c>
      <c r="F237" s="61">
        <v>8945.0</v>
      </c>
      <c r="G237" s="61">
        <v>7375.0</v>
      </c>
      <c r="H237" s="62">
        <v>0.17149305555555555</v>
      </c>
      <c r="I237" s="61">
        <v>34.0</v>
      </c>
      <c r="J237" s="63">
        <f t="shared" si="19"/>
        <v>1.307692308</v>
      </c>
      <c r="K237" s="63">
        <v>86.38461538</v>
      </c>
      <c r="L237" s="61" t="str">
        <f t="shared" si="20"/>
        <v>85-90</v>
      </c>
      <c r="M237" s="63">
        <v>79.4</v>
      </c>
      <c r="N237" s="63">
        <v>82.52</v>
      </c>
      <c r="O237" s="63"/>
      <c r="P237" s="63">
        <v>88.76</v>
      </c>
      <c r="Q237" s="63">
        <v>91.07</v>
      </c>
      <c r="R237" s="63">
        <v>16.67</v>
      </c>
      <c r="S237" s="63">
        <v>92.33</v>
      </c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5"/>
      <c r="AM237" s="56"/>
      <c r="AN237" s="65"/>
      <c r="AO237" s="55"/>
      <c r="AP237" s="56"/>
      <c r="AQ237" s="55"/>
      <c r="AR237" s="55"/>
    </row>
    <row r="238">
      <c r="A238" s="59" t="s">
        <v>17</v>
      </c>
      <c r="B238" s="59"/>
      <c r="C238" s="59" t="s">
        <v>422</v>
      </c>
      <c r="D238" s="60" t="s">
        <v>423</v>
      </c>
      <c r="E238" s="61">
        <v>27.0</v>
      </c>
      <c r="F238" s="61">
        <v>7970.0</v>
      </c>
      <c r="G238" s="61">
        <v>6833.0</v>
      </c>
      <c r="H238" s="62">
        <v>0.1607060185185185</v>
      </c>
      <c r="I238" s="61">
        <v>80.0</v>
      </c>
      <c r="J238" s="63">
        <f t="shared" si="19"/>
        <v>2.962962963</v>
      </c>
      <c r="K238" s="63">
        <v>86.42592593</v>
      </c>
      <c r="L238" s="61" t="str">
        <f t="shared" si="20"/>
        <v>85-90</v>
      </c>
      <c r="M238" s="63">
        <v>78.49</v>
      </c>
      <c r="N238" s="63">
        <v>82.19</v>
      </c>
      <c r="O238" s="63"/>
      <c r="P238" s="63">
        <v>88.66</v>
      </c>
      <c r="Q238" s="63">
        <v>90.5</v>
      </c>
      <c r="R238" s="63">
        <v>16.67</v>
      </c>
      <c r="S238" s="63">
        <v>91.4</v>
      </c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5"/>
      <c r="AM238" s="56"/>
      <c r="AN238" s="65"/>
      <c r="AO238" s="55"/>
      <c r="AP238" s="56"/>
      <c r="AQ238" s="55"/>
      <c r="AR238" s="55"/>
    </row>
    <row r="239">
      <c r="A239" s="59" t="s">
        <v>17</v>
      </c>
      <c r="B239" s="59"/>
      <c r="C239" s="59" t="s">
        <v>424</v>
      </c>
      <c r="D239" s="60" t="s">
        <v>425</v>
      </c>
      <c r="E239" s="61">
        <v>24.0</v>
      </c>
      <c r="F239" s="61">
        <v>6811.0</v>
      </c>
      <c r="G239" s="61">
        <v>5833.0</v>
      </c>
      <c r="H239" s="62">
        <v>0.1332523148148148</v>
      </c>
      <c r="I239" s="61">
        <v>26.0</v>
      </c>
      <c r="J239" s="63">
        <f t="shared" si="19"/>
        <v>1.083333333</v>
      </c>
      <c r="K239" s="63">
        <v>86.46818182</v>
      </c>
      <c r="L239" s="61" t="str">
        <f t="shared" si="20"/>
        <v>85-90</v>
      </c>
      <c r="M239" s="63">
        <v>77.15</v>
      </c>
      <c r="N239" s="63">
        <v>86.25</v>
      </c>
      <c r="O239" s="63"/>
      <c r="P239" s="63">
        <v>88.57</v>
      </c>
      <c r="Q239" s="63">
        <v>90.6</v>
      </c>
      <c r="R239" s="63">
        <v>0.0</v>
      </c>
      <c r="S239" s="63">
        <v>91.52</v>
      </c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5"/>
      <c r="AM239" s="56"/>
      <c r="AN239" s="65"/>
      <c r="AO239" s="55"/>
      <c r="AP239" s="56"/>
      <c r="AQ239" s="55"/>
      <c r="AR239" s="55"/>
    </row>
    <row r="240">
      <c r="A240" s="59" t="s">
        <v>17</v>
      </c>
      <c r="B240" s="59"/>
      <c r="C240" s="59" t="s">
        <v>426</v>
      </c>
      <c r="D240" s="60" t="s">
        <v>427</v>
      </c>
      <c r="E240" s="61">
        <v>21.0</v>
      </c>
      <c r="F240" s="61">
        <v>6790.0</v>
      </c>
      <c r="G240" s="61">
        <v>6443.0</v>
      </c>
      <c r="H240" s="62">
        <v>0.1552662037037037</v>
      </c>
      <c r="I240" s="61">
        <v>57.0</v>
      </c>
      <c r="J240" s="63">
        <f t="shared" si="19"/>
        <v>2.714285714</v>
      </c>
      <c r="K240" s="63">
        <v>86.525</v>
      </c>
      <c r="L240" s="61" t="str">
        <f t="shared" si="20"/>
        <v>85-90</v>
      </c>
      <c r="M240" s="63">
        <v>81.27</v>
      </c>
      <c r="N240" s="63">
        <v>76.96</v>
      </c>
      <c r="O240" s="63"/>
      <c r="P240" s="63">
        <v>88.15</v>
      </c>
      <c r="Q240" s="63">
        <v>90.17</v>
      </c>
      <c r="R240" s="63">
        <v>20.0</v>
      </c>
      <c r="S240" s="63">
        <v>92.05</v>
      </c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5"/>
      <c r="AM240" s="56"/>
      <c r="AN240" s="65"/>
      <c r="AO240" s="55"/>
      <c r="AP240" s="56"/>
      <c r="AQ240" s="55"/>
      <c r="AR240" s="55"/>
    </row>
    <row r="241">
      <c r="A241" s="59" t="s">
        <v>17</v>
      </c>
      <c r="B241" s="59"/>
      <c r="C241" s="59" t="s">
        <v>428</v>
      </c>
      <c r="D241" s="60" t="s">
        <v>429</v>
      </c>
      <c r="E241" s="61">
        <v>26.0</v>
      </c>
      <c r="F241" s="61">
        <v>7344.0</v>
      </c>
      <c r="G241" s="61">
        <v>5967.0</v>
      </c>
      <c r="H241" s="62">
        <v>0.18060185185185185</v>
      </c>
      <c r="I241" s="61">
        <v>77.0</v>
      </c>
      <c r="J241" s="63">
        <f t="shared" si="19"/>
        <v>2.961538462</v>
      </c>
      <c r="K241" s="63">
        <v>86.55</v>
      </c>
      <c r="L241" s="61" t="str">
        <f t="shared" si="20"/>
        <v>85-90</v>
      </c>
      <c r="M241" s="63">
        <v>78.45</v>
      </c>
      <c r="N241" s="63">
        <v>80.36</v>
      </c>
      <c r="O241" s="63"/>
      <c r="P241" s="63">
        <v>90.37</v>
      </c>
      <c r="Q241" s="63">
        <v>90.85</v>
      </c>
      <c r="R241" s="63">
        <v>0.0</v>
      </c>
      <c r="S241" s="63">
        <v>92.59</v>
      </c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5"/>
      <c r="AM241" s="56"/>
      <c r="AN241" s="65"/>
      <c r="AO241" s="55"/>
      <c r="AP241" s="56"/>
      <c r="AQ241" s="55"/>
      <c r="AR241" s="55"/>
    </row>
    <row r="242">
      <c r="A242" s="59" t="s">
        <v>17</v>
      </c>
      <c r="B242" s="59"/>
      <c r="C242" s="59">
        <v>22117.0</v>
      </c>
      <c r="D242" s="60" t="s">
        <v>430</v>
      </c>
      <c r="E242" s="61">
        <v>24.0</v>
      </c>
      <c r="F242" s="61">
        <v>6856.0</v>
      </c>
      <c r="G242" s="61">
        <v>5587.0</v>
      </c>
      <c r="H242" s="62">
        <v>0.1736574074074074</v>
      </c>
      <c r="I242" s="61">
        <v>32.0</v>
      </c>
      <c r="J242" s="63">
        <f t="shared" si="19"/>
        <v>1.333333333</v>
      </c>
      <c r="K242" s="63">
        <v>86.59583333</v>
      </c>
      <c r="L242" s="61" t="str">
        <f t="shared" si="20"/>
        <v>85-90</v>
      </c>
      <c r="M242" s="63">
        <v>80.74</v>
      </c>
      <c r="N242" s="63">
        <v>81.05</v>
      </c>
      <c r="O242" s="63"/>
      <c r="P242" s="63">
        <v>89.31</v>
      </c>
      <c r="Q242" s="63">
        <v>90.97</v>
      </c>
      <c r="R242" s="63">
        <v>0.0</v>
      </c>
      <c r="S242" s="63">
        <v>91.61</v>
      </c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5"/>
      <c r="AM242" s="56"/>
      <c r="AN242" s="65"/>
      <c r="AO242" s="55"/>
      <c r="AP242" s="56"/>
      <c r="AQ242" s="55"/>
      <c r="AR242" s="55"/>
    </row>
    <row r="243">
      <c r="A243" s="59" t="s">
        <v>17</v>
      </c>
      <c r="B243" s="59"/>
      <c r="C243" s="59" t="s">
        <v>431</v>
      </c>
      <c r="D243" s="60" t="s">
        <v>432</v>
      </c>
      <c r="E243" s="61">
        <v>19.0</v>
      </c>
      <c r="F243" s="61">
        <v>4744.0</v>
      </c>
      <c r="G243" s="61">
        <v>3878.0</v>
      </c>
      <c r="H243" s="62">
        <v>0.16354166666666667</v>
      </c>
      <c r="I243" s="61">
        <v>27.0</v>
      </c>
      <c r="J243" s="63">
        <f t="shared" si="19"/>
        <v>1.421052632</v>
      </c>
      <c r="K243" s="63">
        <v>86.73684211</v>
      </c>
      <c r="L243" s="61" t="str">
        <f t="shared" si="20"/>
        <v>85-90</v>
      </c>
      <c r="M243" s="63">
        <v>81.47</v>
      </c>
      <c r="N243" s="63">
        <v>81.96</v>
      </c>
      <c r="O243" s="63"/>
      <c r="P243" s="63">
        <v>88.69</v>
      </c>
      <c r="Q243" s="63">
        <v>90.77</v>
      </c>
      <c r="R243" s="63">
        <v>17.14</v>
      </c>
      <c r="S243" s="63">
        <v>91.07</v>
      </c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5"/>
      <c r="AM243" s="56"/>
      <c r="AN243" s="65"/>
      <c r="AO243" s="55"/>
      <c r="AP243" s="56"/>
      <c r="AQ243" s="55"/>
      <c r="AR243" s="55"/>
    </row>
    <row r="244">
      <c r="A244" s="59" t="s">
        <v>17</v>
      </c>
      <c r="B244" s="59"/>
      <c r="C244" s="59">
        <v>22450.0</v>
      </c>
      <c r="D244" s="60" t="s">
        <v>433</v>
      </c>
      <c r="E244" s="61">
        <v>27.0</v>
      </c>
      <c r="F244" s="61">
        <v>7763.0</v>
      </c>
      <c r="G244" s="61">
        <v>5995.0</v>
      </c>
      <c r="H244" s="62">
        <v>0.1567939814814815</v>
      </c>
      <c r="I244" s="61">
        <v>38.0</v>
      </c>
      <c r="J244" s="63">
        <f t="shared" si="19"/>
        <v>1.407407407</v>
      </c>
      <c r="K244" s="63">
        <v>86.88888889</v>
      </c>
      <c r="L244" s="61" t="str">
        <f t="shared" si="20"/>
        <v>85-90</v>
      </c>
      <c r="M244" s="63">
        <v>79.05</v>
      </c>
      <c r="N244" s="63">
        <v>82.22</v>
      </c>
      <c r="O244" s="63"/>
      <c r="P244" s="63">
        <v>91.14</v>
      </c>
      <c r="Q244" s="63">
        <v>91.7</v>
      </c>
      <c r="R244" s="63">
        <v>0.0</v>
      </c>
      <c r="S244" s="63">
        <v>92.63</v>
      </c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5"/>
      <c r="AM244" s="56"/>
      <c r="AN244" s="65"/>
      <c r="AO244" s="55"/>
      <c r="AP244" s="56"/>
      <c r="AQ244" s="55"/>
      <c r="AR244" s="55"/>
    </row>
    <row r="245">
      <c r="A245" s="59" t="s">
        <v>17</v>
      </c>
      <c r="B245" s="59"/>
      <c r="C245" s="59" t="s">
        <v>434</v>
      </c>
      <c r="D245" s="60" t="s">
        <v>435</v>
      </c>
      <c r="E245" s="61">
        <v>28.0</v>
      </c>
      <c r="F245" s="61">
        <v>6989.0</v>
      </c>
      <c r="G245" s="61">
        <v>5660.0</v>
      </c>
      <c r="H245" s="62">
        <v>0.18094907407407407</v>
      </c>
      <c r="I245" s="61">
        <v>32.0</v>
      </c>
      <c r="J245" s="63">
        <f t="shared" si="19"/>
        <v>1.142857143</v>
      </c>
      <c r="K245" s="63">
        <v>87.00434783</v>
      </c>
      <c r="L245" s="61" t="str">
        <f t="shared" si="20"/>
        <v>85-90</v>
      </c>
      <c r="M245" s="63">
        <v>81.79</v>
      </c>
      <c r="N245" s="63">
        <v>81.97</v>
      </c>
      <c r="O245" s="63"/>
      <c r="P245" s="63">
        <v>90.56</v>
      </c>
      <c r="Q245" s="63">
        <v>91.88</v>
      </c>
      <c r="R245" s="63">
        <v>25.0</v>
      </c>
      <c r="S245" s="63">
        <v>92.89</v>
      </c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5"/>
      <c r="AM245" s="56"/>
      <c r="AN245" s="65"/>
      <c r="AO245" s="55"/>
      <c r="AP245" s="56"/>
      <c r="AQ245" s="55"/>
      <c r="AR245" s="55"/>
    </row>
    <row r="246">
      <c r="A246" s="59" t="s">
        <v>17</v>
      </c>
      <c r="B246" s="59"/>
      <c r="C246" s="59">
        <v>21331.0</v>
      </c>
      <c r="D246" s="60" t="s">
        <v>436</v>
      </c>
      <c r="E246" s="61">
        <v>26.0</v>
      </c>
      <c r="F246" s="61">
        <v>6495.0</v>
      </c>
      <c r="G246" s="61">
        <v>4922.0</v>
      </c>
      <c r="H246" s="62">
        <v>0.16699074074074075</v>
      </c>
      <c r="I246" s="61">
        <v>64.0</v>
      </c>
      <c r="J246" s="63">
        <f t="shared" si="19"/>
        <v>2.461538462</v>
      </c>
      <c r="K246" s="63">
        <v>87.03333333</v>
      </c>
      <c r="L246" s="61" t="str">
        <f t="shared" si="20"/>
        <v>85-90</v>
      </c>
      <c r="M246" s="63">
        <v>78.13</v>
      </c>
      <c r="N246" s="63">
        <v>83.07</v>
      </c>
      <c r="O246" s="63"/>
      <c r="P246" s="63">
        <v>90.9</v>
      </c>
      <c r="Q246" s="63">
        <v>92.56</v>
      </c>
      <c r="R246" s="63">
        <v>15.0</v>
      </c>
      <c r="S246" s="63">
        <v>93.03</v>
      </c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5"/>
      <c r="AM246" s="56"/>
      <c r="AN246" s="65"/>
      <c r="AO246" s="55"/>
      <c r="AP246" s="56"/>
      <c r="AQ246" s="55"/>
      <c r="AR246" s="55"/>
    </row>
    <row r="247">
      <c r="A247" s="59" t="s">
        <v>17</v>
      </c>
      <c r="B247" s="59"/>
      <c r="C247" s="59" t="s">
        <v>437</v>
      </c>
      <c r="D247" s="60" t="s">
        <v>438</v>
      </c>
      <c r="E247" s="61">
        <v>27.0</v>
      </c>
      <c r="F247" s="61">
        <v>7667.0</v>
      </c>
      <c r="G247" s="61">
        <v>6001.0</v>
      </c>
      <c r="H247" s="62">
        <v>0.13793981481481482</v>
      </c>
      <c r="I247" s="61">
        <v>67.0</v>
      </c>
      <c r="J247" s="63">
        <f t="shared" si="19"/>
        <v>2.481481481</v>
      </c>
      <c r="K247" s="63">
        <v>87.13214286</v>
      </c>
      <c r="L247" s="61" t="str">
        <f t="shared" si="20"/>
        <v>85-90</v>
      </c>
      <c r="M247" s="63">
        <v>82.42</v>
      </c>
      <c r="N247" s="63">
        <v>79.35</v>
      </c>
      <c r="O247" s="63"/>
      <c r="P247" s="63">
        <v>90.5</v>
      </c>
      <c r="Q247" s="63">
        <v>90.89</v>
      </c>
      <c r="R247" s="63">
        <v>0.0</v>
      </c>
      <c r="S247" s="63">
        <v>93.26</v>
      </c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5"/>
      <c r="AM247" s="56"/>
      <c r="AN247" s="65"/>
      <c r="AO247" s="55"/>
      <c r="AP247" s="56"/>
      <c r="AQ247" s="55"/>
      <c r="AR247" s="55"/>
    </row>
    <row r="248">
      <c r="A248" s="59" t="s">
        <v>17</v>
      </c>
      <c r="B248" s="59"/>
      <c r="C248" s="59" t="s">
        <v>439</v>
      </c>
      <c r="D248" s="60" t="s">
        <v>440</v>
      </c>
      <c r="E248" s="61">
        <v>27.0</v>
      </c>
      <c r="F248" s="61">
        <v>6611.0</v>
      </c>
      <c r="G248" s="61">
        <v>5776.0</v>
      </c>
      <c r="H248" s="62">
        <v>0.1622337962962963</v>
      </c>
      <c r="I248" s="61">
        <v>60.0</v>
      </c>
      <c r="J248" s="63">
        <f t="shared" si="19"/>
        <v>2.222222222</v>
      </c>
      <c r="K248" s="63">
        <v>87.13333333</v>
      </c>
      <c r="L248" s="61" t="str">
        <f t="shared" si="20"/>
        <v>85-90</v>
      </c>
      <c r="M248" s="63">
        <v>83.32</v>
      </c>
      <c r="N248" s="63">
        <v>83.22</v>
      </c>
      <c r="O248" s="63"/>
      <c r="P248" s="63">
        <v>88.14</v>
      </c>
      <c r="Q248" s="63">
        <v>89.44</v>
      </c>
      <c r="R248" s="63">
        <v>5.0</v>
      </c>
      <c r="S248" s="63">
        <v>92.38</v>
      </c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5"/>
      <c r="AM248" s="56"/>
      <c r="AN248" s="65"/>
      <c r="AO248" s="55"/>
      <c r="AP248" s="56"/>
      <c r="AQ248" s="55"/>
      <c r="AR248" s="55"/>
    </row>
    <row r="249">
      <c r="A249" s="59" t="s">
        <v>17</v>
      </c>
      <c r="B249" s="59"/>
      <c r="C249" s="59" t="s">
        <v>441</v>
      </c>
      <c r="D249" s="60" t="s">
        <v>442</v>
      </c>
      <c r="E249" s="61">
        <v>27.0</v>
      </c>
      <c r="F249" s="61">
        <v>7842.0</v>
      </c>
      <c r="G249" s="61">
        <v>6544.0</v>
      </c>
      <c r="H249" s="62">
        <v>0.17386574074074074</v>
      </c>
      <c r="I249" s="61">
        <v>51.0</v>
      </c>
      <c r="J249" s="63">
        <f t="shared" si="19"/>
        <v>1.888888889</v>
      </c>
      <c r="K249" s="63">
        <v>87.24814815</v>
      </c>
      <c r="L249" s="61" t="str">
        <f t="shared" si="20"/>
        <v>85-90</v>
      </c>
      <c r="M249" s="63">
        <v>79.36</v>
      </c>
      <c r="N249" s="63">
        <v>82.54</v>
      </c>
      <c r="O249" s="63"/>
      <c r="P249" s="63">
        <v>91.0</v>
      </c>
      <c r="Q249" s="63">
        <v>92.11</v>
      </c>
      <c r="R249" s="63">
        <v>25.0</v>
      </c>
      <c r="S249" s="63">
        <v>92.53</v>
      </c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5"/>
      <c r="AM249" s="56"/>
      <c r="AN249" s="65"/>
      <c r="AO249" s="55"/>
      <c r="AP249" s="56"/>
      <c r="AQ249" s="55"/>
      <c r="AR249" s="55"/>
    </row>
    <row r="250">
      <c r="A250" s="59" t="s">
        <v>17</v>
      </c>
      <c r="B250" s="59"/>
      <c r="C250" s="59" t="s">
        <v>443</v>
      </c>
      <c r="D250" s="60" t="s">
        <v>444</v>
      </c>
      <c r="E250" s="61">
        <v>25.0</v>
      </c>
      <c r="F250" s="61">
        <v>5925.0</v>
      </c>
      <c r="G250" s="61">
        <v>5103.0</v>
      </c>
      <c r="H250" s="62">
        <v>0.16143518518518518</v>
      </c>
      <c r="I250" s="61">
        <v>47.0</v>
      </c>
      <c r="J250" s="63">
        <f t="shared" si="19"/>
        <v>1.88</v>
      </c>
      <c r="K250" s="63">
        <v>87.29047619</v>
      </c>
      <c r="L250" s="61" t="str">
        <f t="shared" si="20"/>
        <v>85-90</v>
      </c>
      <c r="M250" s="63">
        <v>80.67</v>
      </c>
      <c r="N250" s="63">
        <v>78.16</v>
      </c>
      <c r="O250" s="63"/>
      <c r="P250" s="63">
        <v>91.25</v>
      </c>
      <c r="Q250" s="63">
        <v>90.82</v>
      </c>
      <c r="R250" s="63">
        <v>2.78</v>
      </c>
      <c r="S250" s="63">
        <v>93.29</v>
      </c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5"/>
      <c r="AM250" s="56"/>
      <c r="AN250" s="65"/>
      <c r="AO250" s="55"/>
      <c r="AP250" s="56"/>
      <c r="AQ250" s="55"/>
      <c r="AR250" s="55"/>
    </row>
    <row r="251">
      <c r="A251" s="59" t="s">
        <v>17</v>
      </c>
      <c r="B251" s="59"/>
      <c r="C251" s="59" t="s">
        <v>445</v>
      </c>
      <c r="D251" s="60" t="s">
        <v>446</v>
      </c>
      <c r="E251" s="61">
        <v>28.0</v>
      </c>
      <c r="F251" s="61">
        <v>8401.0</v>
      </c>
      <c r="G251" s="61">
        <v>6655.0</v>
      </c>
      <c r="H251" s="62">
        <v>0.15381944444444445</v>
      </c>
      <c r="I251" s="61">
        <v>79.0</v>
      </c>
      <c r="J251" s="63">
        <f t="shared" si="19"/>
        <v>2.821428571</v>
      </c>
      <c r="K251" s="63">
        <v>87.37142857</v>
      </c>
      <c r="L251" s="61" t="str">
        <f t="shared" si="20"/>
        <v>85-90</v>
      </c>
      <c r="M251" s="63">
        <v>81.91</v>
      </c>
      <c r="N251" s="63">
        <v>82.56</v>
      </c>
      <c r="O251" s="63"/>
      <c r="P251" s="63">
        <v>89.47</v>
      </c>
      <c r="Q251" s="63">
        <v>91.97</v>
      </c>
      <c r="R251" s="63">
        <v>6.67</v>
      </c>
      <c r="S251" s="63">
        <v>92.05</v>
      </c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5"/>
      <c r="AM251" s="56"/>
      <c r="AN251" s="65"/>
      <c r="AO251" s="55"/>
      <c r="AP251" s="56"/>
      <c r="AQ251" s="55"/>
      <c r="AR251" s="55"/>
    </row>
    <row r="252">
      <c r="A252" s="59" t="s">
        <v>17</v>
      </c>
      <c r="B252" s="59"/>
      <c r="C252" s="59" t="s">
        <v>447</v>
      </c>
      <c r="D252" s="60" t="s">
        <v>448</v>
      </c>
      <c r="E252" s="61">
        <v>24.0</v>
      </c>
      <c r="F252" s="61">
        <v>7342.0</v>
      </c>
      <c r="G252" s="61">
        <v>6411.0</v>
      </c>
      <c r="H252" s="62">
        <v>0.16596064814814815</v>
      </c>
      <c r="I252" s="61">
        <v>48.0</v>
      </c>
      <c r="J252" s="63">
        <f t="shared" si="19"/>
        <v>2</v>
      </c>
      <c r="K252" s="63">
        <v>87.42916667</v>
      </c>
      <c r="L252" s="61" t="str">
        <f t="shared" si="20"/>
        <v>85-90</v>
      </c>
      <c r="M252" s="63">
        <v>80.07</v>
      </c>
      <c r="N252" s="63">
        <v>85.74</v>
      </c>
      <c r="O252" s="63"/>
      <c r="P252" s="63">
        <v>89.2</v>
      </c>
      <c r="Q252" s="63">
        <v>91.32</v>
      </c>
      <c r="R252" s="63">
        <v>10.91</v>
      </c>
      <c r="S252" s="63">
        <v>91.95</v>
      </c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5"/>
      <c r="AM252" s="56"/>
      <c r="AN252" s="65"/>
      <c r="AO252" s="55"/>
      <c r="AP252" s="56"/>
      <c r="AQ252" s="55"/>
      <c r="AR252" s="55"/>
    </row>
    <row r="253">
      <c r="A253" s="59" t="s">
        <v>17</v>
      </c>
      <c r="B253" s="59"/>
      <c r="C253" s="59">
        <v>21111.0</v>
      </c>
      <c r="D253" s="60" t="s">
        <v>449</v>
      </c>
      <c r="E253" s="61">
        <v>20.0</v>
      </c>
      <c r="F253" s="61">
        <v>4488.0</v>
      </c>
      <c r="G253" s="61">
        <v>3299.0</v>
      </c>
      <c r="H253" s="62">
        <v>0.17510416666666667</v>
      </c>
      <c r="I253" s="61">
        <v>52.0</v>
      </c>
      <c r="J253" s="63">
        <f t="shared" si="19"/>
        <v>2.6</v>
      </c>
      <c r="K253" s="63">
        <v>87.43</v>
      </c>
      <c r="L253" s="61" t="str">
        <f t="shared" si="20"/>
        <v>85-90</v>
      </c>
      <c r="M253" s="63">
        <v>81.79</v>
      </c>
      <c r="N253" s="63">
        <v>81.62</v>
      </c>
      <c r="O253" s="63"/>
      <c r="P253" s="63">
        <v>90.52</v>
      </c>
      <c r="Q253" s="63">
        <v>91.37</v>
      </c>
      <c r="R253" s="63">
        <v>8.89</v>
      </c>
      <c r="S253" s="63">
        <v>92.36</v>
      </c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5"/>
      <c r="AM253" s="56"/>
      <c r="AN253" s="65"/>
      <c r="AO253" s="55"/>
      <c r="AP253" s="56"/>
      <c r="AQ253" s="55"/>
      <c r="AR253" s="55"/>
    </row>
    <row r="254">
      <c r="A254" s="59" t="s">
        <v>17</v>
      </c>
      <c r="B254" s="59"/>
      <c r="C254" s="59" t="s">
        <v>450</v>
      </c>
      <c r="D254" s="60" t="s">
        <v>451</v>
      </c>
      <c r="E254" s="61">
        <v>23.0</v>
      </c>
      <c r="F254" s="61">
        <v>5376.0</v>
      </c>
      <c r="G254" s="61">
        <v>4190.0</v>
      </c>
      <c r="H254" s="62">
        <v>0.16648148148148148</v>
      </c>
      <c r="I254" s="61">
        <v>72.0</v>
      </c>
      <c r="J254" s="63">
        <f t="shared" si="19"/>
        <v>3.130434783</v>
      </c>
      <c r="K254" s="63">
        <v>87.46086957</v>
      </c>
      <c r="L254" s="61" t="str">
        <f t="shared" si="20"/>
        <v>85-90</v>
      </c>
      <c r="M254" s="63">
        <v>81.96</v>
      </c>
      <c r="N254" s="63">
        <v>82.83</v>
      </c>
      <c r="O254" s="63"/>
      <c r="P254" s="63">
        <v>90.07</v>
      </c>
      <c r="Q254" s="63">
        <v>91.66</v>
      </c>
      <c r="R254" s="63">
        <v>0.0</v>
      </c>
      <c r="S254" s="63">
        <v>93.05</v>
      </c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5"/>
      <c r="AM254" s="56"/>
      <c r="AN254" s="65"/>
      <c r="AO254" s="55"/>
      <c r="AP254" s="56"/>
      <c r="AQ254" s="55"/>
      <c r="AR254" s="55"/>
    </row>
    <row r="255">
      <c r="A255" s="59" t="s">
        <v>17</v>
      </c>
      <c r="B255" s="59"/>
      <c r="C255" s="59" t="s">
        <v>452</v>
      </c>
      <c r="D255" s="60" t="s">
        <v>453</v>
      </c>
      <c r="E255" s="61">
        <v>19.0</v>
      </c>
      <c r="F255" s="61">
        <v>5227.0</v>
      </c>
      <c r="G255" s="61">
        <v>4609.0</v>
      </c>
      <c r="H255" s="62">
        <v>0.17811342592592594</v>
      </c>
      <c r="I255" s="61">
        <v>53.0</v>
      </c>
      <c r="J255" s="63">
        <f t="shared" si="19"/>
        <v>2.789473684</v>
      </c>
      <c r="K255" s="63">
        <v>87.5</v>
      </c>
      <c r="L255" s="61" t="str">
        <f t="shared" si="20"/>
        <v>85-90</v>
      </c>
      <c r="M255" s="63">
        <v>81.77</v>
      </c>
      <c r="N255" s="63">
        <v>81.8</v>
      </c>
      <c r="O255" s="63"/>
      <c r="P255" s="63">
        <v>90.07</v>
      </c>
      <c r="Q255" s="63">
        <v>91.68</v>
      </c>
      <c r="R255" s="63">
        <v>14.29</v>
      </c>
      <c r="S255" s="63">
        <v>92.87</v>
      </c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5"/>
      <c r="AM255" s="56"/>
      <c r="AN255" s="65"/>
      <c r="AO255" s="55"/>
      <c r="AP255" s="56"/>
      <c r="AQ255" s="55"/>
      <c r="AR255" s="55"/>
    </row>
    <row r="256">
      <c r="A256" s="59" t="s">
        <v>17</v>
      </c>
      <c r="B256" s="59"/>
      <c r="C256" s="59" t="s">
        <v>454</v>
      </c>
      <c r="D256" s="60" t="s">
        <v>455</v>
      </c>
      <c r="E256" s="61">
        <v>26.0</v>
      </c>
      <c r="F256" s="61">
        <v>8498.0</v>
      </c>
      <c r="G256" s="61">
        <v>7008.0</v>
      </c>
      <c r="H256" s="62">
        <v>0.1687847222222222</v>
      </c>
      <c r="I256" s="61">
        <v>49.0</v>
      </c>
      <c r="J256" s="63">
        <f t="shared" si="19"/>
        <v>1.884615385</v>
      </c>
      <c r="K256" s="63">
        <v>87.57307692</v>
      </c>
      <c r="L256" s="61" t="str">
        <f t="shared" si="20"/>
        <v>85-90</v>
      </c>
      <c r="M256" s="63">
        <v>80.63</v>
      </c>
      <c r="N256" s="63">
        <v>82.1</v>
      </c>
      <c r="O256" s="63"/>
      <c r="P256" s="63">
        <v>90.67</v>
      </c>
      <c r="Q256" s="63">
        <v>92.76</v>
      </c>
      <c r="R256" s="63">
        <v>7.69</v>
      </c>
      <c r="S256" s="63">
        <v>93.47</v>
      </c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5"/>
      <c r="AM256" s="56"/>
      <c r="AN256" s="65"/>
      <c r="AO256" s="55"/>
      <c r="AP256" s="56"/>
      <c r="AQ256" s="55"/>
      <c r="AR256" s="55"/>
    </row>
    <row r="257">
      <c r="A257" s="59" t="s">
        <v>17</v>
      </c>
      <c r="B257" s="59"/>
      <c r="C257" s="59" t="s">
        <v>456</v>
      </c>
      <c r="D257" s="60" t="s">
        <v>457</v>
      </c>
      <c r="E257" s="61">
        <v>25.0</v>
      </c>
      <c r="F257" s="61">
        <v>7616.0</v>
      </c>
      <c r="G257" s="61">
        <v>6499.0</v>
      </c>
      <c r="H257" s="62">
        <v>0.17159722222222223</v>
      </c>
      <c r="I257" s="61">
        <v>66.0</v>
      </c>
      <c r="J257" s="63">
        <f t="shared" si="19"/>
        <v>2.64</v>
      </c>
      <c r="K257" s="63">
        <v>87.576</v>
      </c>
      <c r="L257" s="61" t="str">
        <f t="shared" si="20"/>
        <v>85-90</v>
      </c>
      <c r="M257" s="63">
        <v>80.41</v>
      </c>
      <c r="N257" s="63">
        <v>81.64</v>
      </c>
      <c r="O257" s="63"/>
      <c r="P257" s="63">
        <v>90.93</v>
      </c>
      <c r="Q257" s="63">
        <v>92.64</v>
      </c>
      <c r="R257" s="63">
        <v>22.22</v>
      </c>
      <c r="S257" s="63">
        <v>93.07</v>
      </c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5"/>
      <c r="AM257" s="56"/>
      <c r="AN257" s="65"/>
      <c r="AO257" s="55"/>
      <c r="AP257" s="56"/>
      <c r="AQ257" s="55"/>
      <c r="AR257" s="55"/>
    </row>
    <row r="258">
      <c r="A258" s="59" t="s">
        <v>17</v>
      </c>
      <c r="B258" s="59"/>
      <c r="C258" s="59" t="s">
        <v>458</v>
      </c>
      <c r="D258" s="60" t="s">
        <v>459</v>
      </c>
      <c r="E258" s="61">
        <v>24.0</v>
      </c>
      <c r="F258" s="61">
        <v>5684.0</v>
      </c>
      <c r="G258" s="61">
        <v>4601.0</v>
      </c>
      <c r="H258" s="62">
        <v>0.16960648148148147</v>
      </c>
      <c r="I258" s="61">
        <v>66.0</v>
      </c>
      <c r="J258" s="63">
        <f t="shared" si="19"/>
        <v>2.75</v>
      </c>
      <c r="K258" s="63">
        <v>87.62916667</v>
      </c>
      <c r="L258" s="61" t="str">
        <f t="shared" si="20"/>
        <v>85-90</v>
      </c>
      <c r="M258" s="63">
        <v>81.48</v>
      </c>
      <c r="N258" s="63">
        <v>81.63</v>
      </c>
      <c r="O258" s="63"/>
      <c r="P258" s="63">
        <v>90.76</v>
      </c>
      <c r="Q258" s="63">
        <v>90.71</v>
      </c>
      <c r="R258" s="63">
        <v>12.5</v>
      </c>
      <c r="S258" s="63">
        <v>93.25</v>
      </c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5"/>
      <c r="AM258" s="56"/>
      <c r="AN258" s="65"/>
      <c r="AO258" s="55"/>
      <c r="AP258" s="56"/>
      <c r="AQ258" s="55"/>
      <c r="AR258" s="55"/>
    </row>
    <row r="259">
      <c r="A259" s="59" t="s">
        <v>17</v>
      </c>
      <c r="B259" s="59"/>
      <c r="C259" s="59" t="s">
        <v>460</v>
      </c>
      <c r="D259" s="60" t="s">
        <v>461</v>
      </c>
      <c r="E259" s="61">
        <v>25.0</v>
      </c>
      <c r="F259" s="61">
        <v>7968.0</v>
      </c>
      <c r="G259" s="61">
        <v>6888.0</v>
      </c>
      <c r="H259" s="62">
        <v>0.1738888888888889</v>
      </c>
      <c r="I259" s="61">
        <v>40.0</v>
      </c>
      <c r="J259" s="63">
        <f t="shared" si="19"/>
        <v>1.6</v>
      </c>
      <c r="K259" s="63">
        <v>87.83478261</v>
      </c>
      <c r="L259" s="61" t="str">
        <f t="shared" si="20"/>
        <v>85-90</v>
      </c>
      <c r="M259" s="63">
        <v>82.46</v>
      </c>
      <c r="N259" s="63">
        <v>85.85</v>
      </c>
      <c r="O259" s="63"/>
      <c r="P259" s="63">
        <v>89.79</v>
      </c>
      <c r="Q259" s="63">
        <v>91.4</v>
      </c>
      <c r="R259" s="63">
        <v>0.0</v>
      </c>
      <c r="S259" s="63">
        <v>92.22</v>
      </c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5"/>
      <c r="AM259" s="56"/>
      <c r="AN259" s="65"/>
      <c r="AO259" s="55"/>
      <c r="AP259" s="56"/>
      <c r="AQ259" s="55"/>
      <c r="AR259" s="55"/>
    </row>
    <row r="260">
      <c r="A260" s="59" t="s">
        <v>17</v>
      </c>
      <c r="B260" s="59"/>
      <c r="C260" s="59" t="s">
        <v>462</v>
      </c>
      <c r="D260" s="60" t="s">
        <v>463</v>
      </c>
      <c r="E260" s="61">
        <v>26.0</v>
      </c>
      <c r="F260" s="61">
        <v>7409.0</v>
      </c>
      <c r="G260" s="61">
        <v>6402.0</v>
      </c>
      <c r="H260" s="62">
        <v>0.1760648148148148</v>
      </c>
      <c r="I260" s="61">
        <v>42.0</v>
      </c>
      <c r="J260" s="63">
        <f t="shared" si="19"/>
        <v>1.615384615</v>
      </c>
      <c r="K260" s="63">
        <v>87.84074074</v>
      </c>
      <c r="L260" s="61" t="str">
        <f t="shared" si="20"/>
        <v>85-90</v>
      </c>
      <c r="M260" s="63">
        <v>84.85</v>
      </c>
      <c r="N260" s="63">
        <v>83.88</v>
      </c>
      <c r="O260" s="63"/>
      <c r="P260" s="63">
        <v>89.63</v>
      </c>
      <c r="Q260" s="63">
        <v>91.13</v>
      </c>
      <c r="R260" s="63">
        <v>0.0</v>
      </c>
      <c r="S260" s="63">
        <v>92.69</v>
      </c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5"/>
      <c r="AM260" s="56"/>
      <c r="AN260" s="65"/>
      <c r="AO260" s="55"/>
      <c r="AP260" s="56"/>
      <c r="AQ260" s="55"/>
      <c r="AR260" s="55"/>
    </row>
    <row r="261">
      <c r="A261" s="59" t="s">
        <v>17</v>
      </c>
      <c r="B261" s="59"/>
      <c r="C261" s="59" t="s">
        <v>464</v>
      </c>
      <c r="D261" s="60" t="s">
        <v>465</v>
      </c>
      <c r="E261" s="61">
        <v>25.0</v>
      </c>
      <c r="F261" s="61">
        <v>4350.0</v>
      </c>
      <c r="G261" s="61">
        <v>2890.0</v>
      </c>
      <c r="H261" s="62">
        <v>0.14021990740740742</v>
      </c>
      <c r="I261" s="61">
        <v>21.0</v>
      </c>
      <c r="J261" s="63">
        <f t="shared" si="19"/>
        <v>0.84</v>
      </c>
      <c r="K261" s="63">
        <v>88.052</v>
      </c>
      <c r="L261" s="61" t="str">
        <f t="shared" si="20"/>
        <v>85-90</v>
      </c>
      <c r="M261" s="63">
        <v>83.0</v>
      </c>
      <c r="N261" s="63">
        <v>81.57</v>
      </c>
      <c r="O261" s="63"/>
      <c r="P261" s="63">
        <v>90.44</v>
      </c>
      <c r="Q261" s="63">
        <v>92.37</v>
      </c>
      <c r="R261" s="63">
        <v>0.0</v>
      </c>
      <c r="S261" s="63">
        <v>92.92</v>
      </c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5"/>
      <c r="AM261" s="56"/>
      <c r="AN261" s="65"/>
      <c r="AO261" s="55"/>
      <c r="AP261" s="56"/>
      <c r="AQ261" s="55"/>
      <c r="AR261" s="55"/>
    </row>
    <row r="262">
      <c r="A262" s="59" t="s">
        <v>17</v>
      </c>
      <c r="B262" s="59"/>
      <c r="C262" s="59" t="s">
        <v>466</v>
      </c>
      <c r="D262" s="60" t="s">
        <v>467</v>
      </c>
      <c r="E262" s="61">
        <v>25.0</v>
      </c>
      <c r="F262" s="61">
        <v>7377.0</v>
      </c>
      <c r="G262" s="61">
        <v>5818.0</v>
      </c>
      <c r="H262" s="62">
        <v>0.16113425925925925</v>
      </c>
      <c r="I262" s="61">
        <v>67.0</v>
      </c>
      <c r="J262" s="63">
        <f t="shared" si="19"/>
        <v>2.68</v>
      </c>
      <c r="K262" s="63">
        <v>88.116</v>
      </c>
      <c r="L262" s="61" t="str">
        <f t="shared" si="20"/>
        <v>85-90</v>
      </c>
      <c r="M262" s="63">
        <v>83.19</v>
      </c>
      <c r="N262" s="63">
        <v>85.06</v>
      </c>
      <c r="O262" s="63"/>
      <c r="P262" s="63">
        <v>89.4</v>
      </c>
      <c r="Q262" s="63">
        <v>91.78</v>
      </c>
      <c r="R262" s="63">
        <v>8.57</v>
      </c>
      <c r="S262" s="63">
        <v>92.57</v>
      </c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5"/>
      <c r="AM262" s="56"/>
      <c r="AN262" s="65"/>
      <c r="AO262" s="55"/>
      <c r="AP262" s="56"/>
      <c r="AQ262" s="55"/>
      <c r="AR262" s="55"/>
    </row>
    <row r="263">
      <c r="A263" s="59" t="s">
        <v>17</v>
      </c>
      <c r="B263" s="59"/>
      <c r="C263" s="59">
        <v>22550.0</v>
      </c>
      <c r="D263" s="60" t="s">
        <v>468</v>
      </c>
      <c r="E263" s="61">
        <v>5.0</v>
      </c>
      <c r="F263" s="61">
        <v>1173.0</v>
      </c>
      <c r="G263" s="61">
        <v>1065.0</v>
      </c>
      <c r="H263" s="66">
        <v>0.17059027777777777</v>
      </c>
      <c r="I263" s="61">
        <v>6.0</v>
      </c>
      <c r="J263" s="63">
        <f t="shared" si="19"/>
        <v>1.2</v>
      </c>
      <c r="K263" s="63">
        <v>88.175</v>
      </c>
      <c r="L263" s="61" t="str">
        <f t="shared" si="20"/>
        <v>85-90</v>
      </c>
      <c r="M263" s="63"/>
      <c r="N263" s="63"/>
      <c r="O263" s="63"/>
      <c r="P263" s="63"/>
      <c r="Q263" s="63"/>
      <c r="R263" s="63"/>
      <c r="S263" s="63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5"/>
      <c r="AM263" s="56"/>
      <c r="AN263" s="65"/>
      <c r="AO263" s="55"/>
      <c r="AP263" s="56"/>
      <c r="AQ263" s="55"/>
      <c r="AR263" s="55"/>
    </row>
    <row r="264">
      <c r="A264" s="59" t="s">
        <v>17</v>
      </c>
      <c r="B264" s="59"/>
      <c r="C264" s="59" t="s">
        <v>469</v>
      </c>
      <c r="D264" s="60" t="s">
        <v>470</v>
      </c>
      <c r="E264" s="61">
        <v>24.0</v>
      </c>
      <c r="F264" s="61">
        <v>7512.0</v>
      </c>
      <c r="G264" s="61">
        <v>6412.0</v>
      </c>
      <c r="H264" s="62">
        <v>0.14829861111111112</v>
      </c>
      <c r="I264" s="61">
        <v>37.0</v>
      </c>
      <c r="J264" s="63">
        <f t="shared" si="19"/>
        <v>1.541666667</v>
      </c>
      <c r="K264" s="63">
        <v>88.2625</v>
      </c>
      <c r="L264" s="61" t="str">
        <f t="shared" si="20"/>
        <v>85-90</v>
      </c>
      <c r="M264" s="63">
        <v>80.83</v>
      </c>
      <c r="N264" s="63">
        <v>86.21</v>
      </c>
      <c r="O264" s="63"/>
      <c r="P264" s="63">
        <v>91.4</v>
      </c>
      <c r="Q264" s="63">
        <v>92.23</v>
      </c>
      <c r="R264" s="63">
        <v>20.0</v>
      </c>
      <c r="S264" s="63">
        <v>93.0</v>
      </c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5"/>
      <c r="AM264" s="56"/>
      <c r="AN264" s="65"/>
      <c r="AO264" s="55"/>
      <c r="AP264" s="56"/>
      <c r="AQ264" s="55"/>
      <c r="AR264" s="55"/>
    </row>
    <row r="265">
      <c r="A265" s="59" t="s">
        <v>17</v>
      </c>
      <c r="B265" s="59"/>
      <c r="C265" s="59" t="s">
        <v>471</v>
      </c>
      <c r="D265" s="60" t="s">
        <v>472</v>
      </c>
      <c r="E265" s="61">
        <v>25.0</v>
      </c>
      <c r="F265" s="61">
        <v>7279.0</v>
      </c>
      <c r="G265" s="61">
        <v>5481.0</v>
      </c>
      <c r="H265" s="62">
        <v>0.18261574074074075</v>
      </c>
      <c r="I265" s="61">
        <v>119.0</v>
      </c>
      <c r="J265" s="63">
        <f t="shared" si="19"/>
        <v>4.76</v>
      </c>
      <c r="K265" s="63">
        <v>88.272</v>
      </c>
      <c r="L265" s="61" t="str">
        <f t="shared" si="20"/>
        <v>85-90</v>
      </c>
      <c r="M265" s="63">
        <v>81.36</v>
      </c>
      <c r="N265" s="63">
        <v>83.9</v>
      </c>
      <c r="O265" s="63"/>
      <c r="P265" s="63">
        <v>90.54</v>
      </c>
      <c r="Q265" s="63">
        <v>92.11</v>
      </c>
      <c r="R265" s="63">
        <v>0.0</v>
      </c>
      <c r="S265" s="63">
        <v>93.09</v>
      </c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5"/>
      <c r="AM265" s="56"/>
      <c r="AN265" s="65"/>
      <c r="AO265" s="55"/>
      <c r="AP265" s="56"/>
      <c r="AQ265" s="55"/>
      <c r="AR265" s="55"/>
    </row>
    <row r="266">
      <c r="A266" s="59" t="s">
        <v>17</v>
      </c>
      <c r="B266" s="59"/>
      <c r="C266" s="59" t="s">
        <v>473</v>
      </c>
      <c r="D266" s="60" t="s">
        <v>474</v>
      </c>
      <c r="E266" s="61">
        <v>27.0</v>
      </c>
      <c r="F266" s="61">
        <v>7716.0</v>
      </c>
      <c r="G266" s="61">
        <v>6096.0</v>
      </c>
      <c r="H266" s="62">
        <v>0.1812962962962963</v>
      </c>
      <c r="I266" s="61">
        <v>48.0</v>
      </c>
      <c r="J266" s="63">
        <f t="shared" si="19"/>
        <v>1.777777778</v>
      </c>
      <c r="K266" s="63">
        <v>88.58518519</v>
      </c>
      <c r="L266" s="61" t="str">
        <f t="shared" si="20"/>
        <v>85-90</v>
      </c>
      <c r="M266" s="63">
        <v>82.67</v>
      </c>
      <c r="N266" s="63">
        <v>82.31</v>
      </c>
      <c r="O266" s="63"/>
      <c r="P266" s="63">
        <v>92.07</v>
      </c>
      <c r="Q266" s="63">
        <v>93.14</v>
      </c>
      <c r="R266" s="63">
        <v>0.0</v>
      </c>
      <c r="S266" s="63">
        <v>94.35</v>
      </c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5"/>
      <c r="AM266" s="56"/>
      <c r="AN266" s="65"/>
      <c r="AO266" s="55"/>
      <c r="AP266" s="56"/>
      <c r="AQ266" s="55"/>
      <c r="AR266" s="55"/>
    </row>
    <row r="267">
      <c r="A267" s="59" t="s">
        <v>17</v>
      </c>
      <c r="B267" s="59"/>
      <c r="C267" s="59">
        <v>22447.0</v>
      </c>
      <c r="D267" s="60" t="s">
        <v>475</v>
      </c>
      <c r="E267" s="61">
        <v>24.0</v>
      </c>
      <c r="F267" s="61">
        <v>6080.0</v>
      </c>
      <c r="G267" s="61">
        <v>4844.0</v>
      </c>
      <c r="H267" s="62">
        <v>0.18025462962962963</v>
      </c>
      <c r="I267" s="61">
        <v>46.0</v>
      </c>
      <c r="J267" s="63">
        <f t="shared" si="19"/>
        <v>1.916666667</v>
      </c>
      <c r="K267" s="63">
        <v>88.64583333</v>
      </c>
      <c r="L267" s="61" t="str">
        <f t="shared" si="20"/>
        <v>85-90</v>
      </c>
      <c r="M267" s="63">
        <v>82.97</v>
      </c>
      <c r="N267" s="63">
        <v>85.98</v>
      </c>
      <c r="O267" s="63"/>
      <c r="P267" s="63">
        <v>91.51</v>
      </c>
      <c r="Q267" s="63">
        <v>91.57</v>
      </c>
      <c r="R267" s="63">
        <v>19.05</v>
      </c>
      <c r="S267" s="63">
        <v>92.83</v>
      </c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5"/>
      <c r="AM267" s="56"/>
      <c r="AN267" s="65"/>
      <c r="AO267" s="55"/>
      <c r="AP267" s="56"/>
      <c r="AQ267" s="55"/>
      <c r="AR267" s="55"/>
    </row>
    <row r="268">
      <c r="A268" s="59" t="s">
        <v>17</v>
      </c>
      <c r="B268" s="59"/>
      <c r="C268" s="59" t="s">
        <v>476</v>
      </c>
      <c r="D268" s="60" t="s">
        <v>477</v>
      </c>
      <c r="E268" s="61">
        <v>26.0</v>
      </c>
      <c r="F268" s="61">
        <v>7461.0</v>
      </c>
      <c r="G268" s="61">
        <v>6706.0</v>
      </c>
      <c r="H268" s="62">
        <v>0.1764699074074074</v>
      </c>
      <c r="I268" s="61">
        <v>102.0</v>
      </c>
      <c r="J268" s="63">
        <f t="shared" si="19"/>
        <v>3.923076923</v>
      </c>
      <c r="K268" s="63">
        <v>88.76923077</v>
      </c>
      <c r="L268" s="61" t="str">
        <f t="shared" si="20"/>
        <v>85-90</v>
      </c>
      <c r="M268" s="63">
        <v>86.14</v>
      </c>
      <c r="N268" s="63">
        <v>83.97</v>
      </c>
      <c r="O268" s="63"/>
      <c r="P268" s="63">
        <v>90.64</v>
      </c>
      <c r="Q268" s="63">
        <v>91.26</v>
      </c>
      <c r="R268" s="63">
        <v>7.27</v>
      </c>
      <c r="S268" s="63">
        <v>93.8</v>
      </c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5"/>
      <c r="AM268" s="56"/>
      <c r="AN268" s="65"/>
      <c r="AO268" s="55"/>
      <c r="AP268" s="56"/>
      <c r="AQ268" s="55"/>
      <c r="AR268" s="55"/>
    </row>
    <row r="269">
      <c r="A269" s="59" t="s">
        <v>17</v>
      </c>
      <c r="B269" s="59"/>
      <c r="C269" s="59" t="s">
        <v>478</v>
      </c>
      <c r="D269" s="60" t="s">
        <v>479</v>
      </c>
      <c r="E269" s="61">
        <v>25.0</v>
      </c>
      <c r="F269" s="61">
        <v>6833.0</v>
      </c>
      <c r="G269" s="61">
        <v>5869.0</v>
      </c>
      <c r="H269" s="62">
        <v>0.16975694444444445</v>
      </c>
      <c r="I269" s="61">
        <v>69.0</v>
      </c>
      <c r="J269" s="63">
        <f t="shared" si="19"/>
        <v>2.76</v>
      </c>
      <c r="K269" s="63">
        <v>88.972</v>
      </c>
      <c r="L269" s="61" t="str">
        <f t="shared" si="20"/>
        <v>85-90</v>
      </c>
      <c r="M269" s="63">
        <v>88.52</v>
      </c>
      <c r="N269" s="63">
        <v>74.67</v>
      </c>
      <c r="O269" s="63"/>
      <c r="P269" s="63">
        <v>92.74</v>
      </c>
      <c r="Q269" s="63">
        <v>92.32</v>
      </c>
      <c r="R269" s="63">
        <v>3.33</v>
      </c>
      <c r="S269" s="63">
        <v>94.42</v>
      </c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5"/>
      <c r="AM269" s="56"/>
      <c r="AN269" s="65"/>
      <c r="AO269" s="55"/>
      <c r="AP269" s="56"/>
      <c r="AQ269" s="55"/>
      <c r="AR269" s="55"/>
    </row>
    <row r="270">
      <c r="A270" s="59" t="s">
        <v>17</v>
      </c>
      <c r="B270" s="59"/>
      <c r="C270" s="59" t="s">
        <v>480</v>
      </c>
      <c r="D270" s="60" t="s">
        <v>481</v>
      </c>
      <c r="E270" s="61">
        <v>25.0</v>
      </c>
      <c r="F270" s="61">
        <v>8749.0</v>
      </c>
      <c r="G270" s="61">
        <v>7612.0</v>
      </c>
      <c r="H270" s="62">
        <v>0.18199074074074073</v>
      </c>
      <c r="I270" s="61">
        <v>55.0</v>
      </c>
      <c r="J270" s="63">
        <f t="shared" si="19"/>
        <v>2.2</v>
      </c>
      <c r="K270" s="63">
        <v>89.224</v>
      </c>
      <c r="L270" s="61" t="str">
        <f t="shared" si="20"/>
        <v>85-90</v>
      </c>
      <c r="M270" s="63">
        <v>85.37</v>
      </c>
      <c r="N270" s="63">
        <v>86.04</v>
      </c>
      <c r="O270" s="63"/>
      <c r="P270" s="63">
        <v>91.34</v>
      </c>
      <c r="Q270" s="63">
        <v>92.2</v>
      </c>
      <c r="R270" s="63">
        <v>9.38</v>
      </c>
      <c r="S270" s="63">
        <v>93.71</v>
      </c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5"/>
      <c r="AM270" s="56"/>
      <c r="AN270" s="65"/>
      <c r="AO270" s="55"/>
      <c r="AP270" s="56"/>
      <c r="AQ270" s="55"/>
      <c r="AR270" s="55"/>
    </row>
    <row r="271">
      <c r="A271" s="59" t="s">
        <v>17</v>
      </c>
      <c r="B271" s="59"/>
      <c r="C271" s="59" t="s">
        <v>482</v>
      </c>
      <c r="D271" s="60" t="s">
        <v>483</v>
      </c>
      <c r="E271" s="61">
        <v>26.0</v>
      </c>
      <c r="F271" s="61">
        <v>7154.0</v>
      </c>
      <c r="G271" s="61">
        <v>5922.0</v>
      </c>
      <c r="H271" s="62">
        <v>0.17542824074074073</v>
      </c>
      <c r="I271" s="61">
        <v>51.0</v>
      </c>
      <c r="J271" s="63">
        <f t="shared" si="19"/>
        <v>1.961538462</v>
      </c>
      <c r="K271" s="63">
        <v>90.03846154</v>
      </c>
      <c r="L271" s="61" t="str">
        <f t="shared" si="20"/>
        <v>91-95</v>
      </c>
      <c r="M271" s="63">
        <v>85.27</v>
      </c>
      <c r="N271" s="63">
        <v>84.88</v>
      </c>
      <c r="O271" s="63"/>
      <c r="P271" s="63">
        <v>92.69</v>
      </c>
      <c r="Q271" s="63">
        <v>93.32</v>
      </c>
      <c r="R271" s="63">
        <v>25.0</v>
      </c>
      <c r="S271" s="63">
        <v>94.58</v>
      </c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5"/>
      <c r="AM271" s="56"/>
      <c r="AN271" s="65"/>
      <c r="AO271" s="55"/>
      <c r="AP271" s="56"/>
      <c r="AQ271" s="55"/>
      <c r="AR271" s="55"/>
    </row>
    <row r="272">
      <c r="A272" s="59" t="s">
        <v>17</v>
      </c>
      <c r="B272" s="59"/>
      <c r="C272" s="59" t="s">
        <v>484</v>
      </c>
      <c r="D272" s="60" t="s">
        <v>485</v>
      </c>
      <c r="E272" s="61">
        <v>26.0</v>
      </c>
      <c r="F272" s="61">
        <v>6805.0</v>
      </c>
      <c r="G272" s="61">
        <v>5523.0</v>
      </c>
      <c r="H272" s="62">
        <v>0.15260416666666668</v>
      </c>
      <c r="I272" s="61">
        <v>49.0</v>
      </c>
      <c r="J272" s="63">
        <f t="shared" si="19"/>
        <v>1.884615385</v>
      </c>
      <c r="K272" s="63">
        <v>90.08846154</v>
      </c>
      <c r="L272" s="61" t="str">
        <f t="shared" si="20"/>
        <v>91-95</v>
      </c>
      <c r="M272" s="63">
        <v>85.38</v>
      </c>
      <c r="N272" s="63">
        <v>86.54</v>
      </c>
      <c r="O272" s="63"/>
      <c r="P272" s="63">
        <v>92.43</v>
      </c>
      <c r="Q272" s="63">
        <v>91.67</v>
      </c>
      <c r="R272" s="63">
        <v>0.0</v>
      </c>
      <c r="S272" s="63">
        <v>93.71</v>
      </c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5"/>
      <c r="AM272" s="56"/>
      <c r="AN272" s="65"/>
      <c r="AO272" s="55"/>
      <c r="AP272" s="56"/>
      <c r="AQ272" s="55"/>
      <c r="AR272" s="55"/>
    </row>
    <row r="273">
      <c r="A273" s="59" t="s">
        <v>17</v>
      </c>
      <c r="B273" s="59"/>
      <c r="C273" s="59">
        <v>22471.0</v>
      </c>
      <c r="D273" s="60" t="s">
        <v>486</v>
      </c>
      <c r="E273" s="61">
        <v>6.0</v>
      </c>
      <c r="F273" s="61">
        <v>1698.0</v>
      </c>
      <c r="G273" s="61">
        <v>1272.0</v>
      </c>
      <c r="H273" s="66">
        <v>0.16010416666666666</v>
      </c>
      <c r="I273" s="61">
        <v>17.0</v>
      </c>
      <c r="J273" s="63">
        <f t="shared" si="19"/>
        <v>2.833333333</v>
      </c>
      <c r="K273" s="63">
        <v>90.1</v>
      </c>
      <c r="L273" s="61" t="str">
        <f t="shared" si="20"/>
        <v>91-95</v>
      </c>
      <c r="M273" s="63">
        <v>84.68</v>
      </c>
      <c r="N273" s="63">
        <v>87.62</v>
      </c>
      <c r="O273" s="63"/>
      <c r="P273" s="63">
        <v>91.92</v>
      </c>
      <c r="Q273" s="63">
        <v>93.31</v>
      </c>
      <c r="R273" s="63">
        <v>13.33</v>
      </c>
      <c r="S273" s="63">
        <v>94.62</v>
      </c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5"/>
      <c r="AM273" s="56"/>
      <c r="AN273" s="65"/>
      <c r="AO273" s="55"/>
      <c r="AP273" s="56"/>
      <c r="AQ273" s="55"/>
      <c r="AR273" s="55"/>
    </row>
    <row r="274">
      <c r="A274" s="59" t="s">
        <v>17</v>
      </c>
      <c r="B274" s="59"/>
      <c r="C274" s="59" t="s">
        <v>487</v>
      </c>
      <c r="D274" s="60" t="s">
        <v>488</v>
      </c>
      <c r="E274" s="61">
        <v>25.0</v>
      </c>
      <c r="F274" s="61">
        <v>6684.0</v>
      </c>
      <c r="G274" s="61">
        <v>5941.0</v>
      </c>
      <c r="H274" s="62">
        <v>0.1736111111111111</v>
      </c>
      <c r="I274" s="61">
        <v>67.0</v>
      </c>
      <c r="J274" s="63">
        <f t="shared" si="19"/>
        <v>2.68</v>
      </c>
      <c r="K274" s="63">
        <v>90.1</v>
      </c>
      <c r="L274" s="61" t="str">
        <f t="shared" si="20"/>
        <v>91-95</v>
      </c>
      <c r="M274" s="63">
        <v>86.46</v>
      </c>
      <c r="N274" s="63">
        <v>83.5</v>
      </c>
      <c r="O274" s="63"/>
      <c r="P274" s="63">
        <v>92.29</v>
      </c>
      <c r="Q274" s="63">
        <v>92.13</v>
      </c>
      <c r="R274" s="63">
        <v>16.18</v>
      </c>
      <c r="S274" s="63">
        <v>95.1</v>
      </c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5"/>
      <c r="AM274" s="56"/>
      <c r="AN274" s="65"/>
      <c r="AO274" s="55"/>
      <c r="AP274" s="56"/>
      <c r="AQ274" s="55"/>
      <c r="AR274" s="55"/>
    </row>
    <row r="275">
      <c r="A275" s="59" t="s">
        <v>17</v>
      </c>
      <c r="B275" s="59"/>
      <c r="C275" s="59" t="s">
        <v>489</v>
      </c>
      <c r="D275" s="60" t="s">
        <v>490</v>
      </c>
      <c r="E275" s="61">
        <v>2.0</v>
      </c>
      <c r="F275" s="61">
        <v>421.0</v>
      </c>
      <c r="G275" s="61">
        <v>412.0</v>
      </c>
      <c r="H275" s="66">
        <v>0.13898148148148148</v>
      </c>
      <c r="I275" s="61">
        <v>1.0</v>
      </c>
      <c r="J275" s="63">
        <f t="shared" si="19"/>
        <v>0.5</v>
      </c>
      <c r="K275" s="63"/>
      <c r="L275" s="61"/>
      <c r="M275" s="63"/>
      <c r="N275" s="63"/>
      <c r="O275" s="63"/>
      <c r="P275" s="63"/>
      <c r="Q275" s="63"/>
      <c r="R275" s="63"/>
      <c r="S275" s="63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5"/>
      <c r="AM275" s="56"/>
      <c r="AN275" s="65"/>
      <c r="AO275" s="55"/>
      <c r="AP275" s="56"/>
      <c r="AQ275" s="55"/>
      <c r="AR275" s="55"/>
    </row>
    <row r="276">
      <c r="A276" s="59" t="s">
        <v>17</v>
      </c>
      <c r="B276" s="59"/>
      <c r="C276" s="59" t="s">
        <v>491</v>
      </c>
      <c r="D276" s="60" t="s">
        <v>492</v>
      </c>
      <c r="E276" s="61">
        <v>3.0</v>
      </c>
      <c r="F276" s="61">
        <v>907.0</v>
      </c>
      <c r="G276" s="61">
        <v>875.0</v>
      </c>
      <c r="H276" s="66">
        <v>0.1545138888888889</v>
      </c>
      <c r="I276" s="61">
        <v>2.0</v>
      </c>
      <c r="J276" s="63">
        <f t="shared" si="19"/>
        <v>0.6666666667</v>
      </c>
      <c r="K276" s="63"/>
      <c r="L276" s="61"/>
      <c r="M276" s="63"/>
      <c r="N276" s="63"/>
      <c r="O276" s="63"/>
      <c r="P276" s="63"/>
      <c r="Q276" s="63"/>
      <c r="R276" s="63"/>
      <c r="S276" s="63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5"/>
      <c r="AM276" s="56"/>
      <c r="AN276" s="65"/>
      <c r="AO276" s="55"/>
      <c r="AP276" s="56"/>
      <c r="AQ276" s="55"/>
      <c r="AR276" s="55"/>
    </row>
    <row r="277">
      <c r="A277" s="59" t="s">
        <v>17</v>
      </c>
      <c r="B277" s="59"/>
      <c r="C277" s="59" t="s">
        <v>493</v>
      </c>
      <c r="D277" s="60" t="s">
        <v>494</v>
      </c>
      <c r="E277" s="61">
        <v>2.0</v>
      </c>
      <c r="F277" s="61">
        <v>381.0</v>
      </c>
      <c r="G277" s="61">
        <v>372.0</v>
      </c>
      <c r="H277" s="66">
        <v>0.16486111111111112</v>
      </c>
      <c r="I277" s="61">
        <v>2.0</v>
      </c>
      <c r="J277" s="63">
        <f t="shared" si="19"/>
        <v>1</v>
      </c>
      <c r="K277" s="63"/>
      <c r="L277" s="61"/>
      <c r="M277" s="63"/>
      <c r="N277" s="63"/>
      <c r="O277" s="63"/>
      <c r="P277" s="63"/>
      <c r="Q277" s="63"/>
      <c r="R277" s="63"/>
      <c r="S277" s="63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5"/>
      <c r="AM277" s="56"/>
      <c r="AN277" s="65"/>
      <c r="AO277" s="55"/>
      <c r="AP277" s="56"/>
      <c r="AQ277" s="55"/>
      <c r="AR277" s="55"/>
    </row>
    <row r="278">
      <c r="A278" s="59" t="s">
        <v>17</v>
      </c>
      <c r="B278" s="59"/>
      <c r="C278" s="59" t="s">
        <v>495</v>
      </c>
      <c r="D278" s="60" t="s">
        <v>496</v>
      </c>
      <c r="E278" s="61">
        <v>3.0</v>
      </c>
      <c r="F278" s="61">
        <v>823.0</v>
      </c>
      <c r="G278" s="61">
        <v>790.0</v>
      </c>
      <c r="H278" s="66">
        <v>0.14857638888888888</v>
      </c>
      <c r="I278" s="61">
        <v>3.0</v>
      </c>
      <c r="J278" s="63">
        <f t="shared" si="19"/>
        <v>1</v>
      </c>
      <c r="K278" s="63"/>
      <c r="L278" s="61"/>
      <c r="M278" s="63"/>
      <c r="N278" s="63"/>
      <c r="O278" s="63"/>
      <c r="P278" s="63"/>
      <c r="Q278" s="63"/>
      <c r="R278" s="63"/>
      <c r="S278" s="63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5"/>
      <c r="AM278" s="56"/>
      <c r="AN278" s="65"/>
      <c r="AO278" s="55"/>
      <c r="AP278" s="56"/>
      <c r="AQ278" s="55"/>
      <c r="AR278" s="55"/>
    </row>
    <row r="279">
      <c r="A279" s="59" t="s">
        <v>17</v>
      </c>
      <c r="B279" s="59"/>
      <c r="C279" s="59" t="s">
        <v>497</v>
      </c>
      <c r="D279" s="60" t="s">
        <v>498</v>
      </c>
      <c r="E279" s="61">
        <v>3.0</v>
      </c>
      <c r="F279" s="61">
        <v>688.0</v>
      </c>
      <c r="G279" s="61">
        <v>645.0</v>
      </c>
      <c r="H279" s="66">
        <v>0.15618055555555554</v>
      </c>
      <c r="I279" s="61">
        <v>4.0</v>
      </c>
      <c r="J279" s="63">
        <f t="shared" si="19"/>
        <v>1.333333333</v>
      </c>
      <c r="K279" s="63"/>
      <c r="L279" s="61"/>
      <c r="M279" s="63"/>
      <c r="N279" s="63"/>
      <c r="O279" s="63"/>
      <c r="P279" s="63"/>
      <c r="Q279" s="63"/>
      <c r="R279" s="63"/>
      <c r="S279" s="63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5"/>
      <c r="AM279" s="56"/>
      <c r="AN279" s="65"/>
      <c r="AO279" s="55"/>
      <c r="AP279" s="56"/>
      <c r="AQ279" s="55"/>
      <c r="AR279" s="55"/>
    </row>
    <row r="280">
      <c r="A280" s="65"/>
      <c r="B280" s="65"/>
      <c r="C280" s="65"/>
      <c r="D280" s="65"/>
      <c r="E280" s="65"/>
      <c r="F280" s="65"/>
      <c r="G280" s="65"/>
      <c r="H280" s="65"/>
      <c r="I280" s="67"/>
      <c r="J280" s="65"/>
      <c r="K280" s="67"/>
      <c r="L280" s="67"/>
      <c r="M280" s="65"/>
      <c r="N280" s="65"/>
      <c r="O280" s="65"/>
      <c r="P280" s="65"/>
      <c r="Q280" s="65"/>
      <c r="R280" s="65"/>
      <c r="S280" s="65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5"/>
      <c r="AM280" s="56"/>
      <c r="AN280" s="65"/>
      <c r="AO280" s="55"/>
      <c r="AP280" s="56"/>
      <c r="AQ280" s="55"/>
      <c r="AR280" s="55"/>
    </row>
    <row r="281">
      <c r="A281" s="54" t="s">
        <v>1</v>
      </c>
      <c r="B281" s="54" t="s">
        <v>34</v>
      </c>
      <c r="C281" s="54" t="s">
        <v>35</v>
      </c>
      <c r="D281" s="54" t="s">
        <v>36</v>
      </c>
      <c r="E281" s="54" t="s">
        <v>37</v>
      </c>
      <c r="F281" s="54" t="s">
        <v>38</v>
      </c>
      <c r="G281" s="54" t="s">
        <v>39</v>
      </c>
      <c r="H281" s="54" t="s">
        <v>40</v>
      </c>
      <c r="I281" s="54" t="s">
        <v>41</v>
      </c>
      <c r="J281" s="54" t="s">
        <v>42</v>
      </c>
      <c r="K281" s="54" t="s">
        <v>245</v>
      </c>
      <c r="L281" s="54" t="s">
        <v>43</v>
      </c>
      <c r="M281" s="54" t="s">
        <v>246</v>
      </c>
      <c r="N281" s="54" t="s">
        <v>247</v>
      </c>
      <c r="O281" s="54" t="s">
        <v>44</v>
      </c>
      <c r="P281" s="54" t="s">
        <v>248</v>
      </c>
      <c r="Q281" s="54" t="s">
        <v>249</v>
      </c>
      <c r="R281" s="54" t="s">
        <v>250</v>
      </c>
      <c r="S281" s="54" t="s">
        <v>251</v>
      </c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 t="s">
        <v>53</v>
      </c>
      <c r="AE281" s="57" t="s">
        <v>53</v>
      </c>
      <c r="AF281" s="56"/>
      <c r="AG281" s="57" t="s">
        <v>53</v>
      </c>
      <c r="AH281" s="57" t="s">
        <v>53</v>
      </c>
      <c r="AI281" s="57" t="s">
        <v>53</v>
      </c>
      <c r="AJ281" s="57" t="s">
        <v>53</v>
      </c>
      <c r="AK281" s="56"/>
      <c r="AL281" s="55"/>
      <c r="AM281" s="57" t="s">
        <v>53</v>
      </c>
      <c r="AN281" s="65"/>
      <c r="AO281" s="55"/>
      <c r="AP281" s="56"/>
      <c r="AQ281" s="55"/>
      <c r="AR281" s="55"/>
    </row>
    <row r="282">
      <c r="A282" s="59" t="s">
        <v>499</v>
      </c>
      <c r="B282" s="59"/>
      <c r="C282" s="59" t="s">
        <v>500</v>
      </c>
      <c r="D282" s="60" t="s">
        <v>501</v>
      </c>
      <c r="E282" s="61">
        <v>24.0</v>
      </c>
      <c r="F282" s="61">
        <v>8108.0</v>
      </c>
      <c r="G282" s="61">
        <v>7545.0</v>
      </c>
      <c r="H282" s="62">
        <v>0.16938657407407406</v>
      </c>
      <c r="I282" s="61">
        <v>147.0</v>
      </c>
      <c r="J282" s="63">
        <f t="shared" ref="J282:J307" si="23">I282/E282</f>
        <v>6.125</v>
      </c>
      <c r="K282" s="63">
        <v>83.036</v>
      </c>
      <c r="L282" s="61" t="str">
        <f t="shared" ref="L282:L307" si="24">IF(K282&lt;80,"L80",IF(K282&lt;=85,"81-85",IF(K282&lt;=90,"85-90",IF(K282&lt;=95,"91-95","G95%"))))</f>
        <v>81-85</v>
      </c>
      <c r="M282" s="63">
        <v>74.35</v>
      </c>
      <c r="N282" s="63">
        <v>77.94</v>
      </c>
      <c r="O282" s="63"/>
      <c r="P282" s="63">
        <v>86.16</v>
      </c>
      <c r="Q282" s="63">
        <v>87.92</v>
      </c>
      <c r="R282" s="63">
        <v>0.0</v>
      </c>
      <c r="S282" s="63">
        <v>89.2</v>
      </c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>
        <f t="shared" ref="AD282:AE282" si="21">CORREL(M282:M307,$J$282:$J$307)</f>
        <v>0.10839409</v>
      </c>
      <c r="AE282" s="58">
        <f t="shared" si="21"/>
        <v>0.2647433853</v>
      </c>
      <c r="AF282" s="58"/>
      <c r="AG282" s="58">
        <f t="shared" ref="AG282:AJ282" si="22">CORREL(P282:P307,$J$282:$J$307)</f>
        <v>-0.04691017446</v>
      </c>
      <c r="AH282" s="58">
        <f t="shared" si="22"/>
        <v>-0.1250903669</v>
      </c>
      <c r="AI282" s="58">
        <f t="shared" si="22"/>
        <v>0.3510152497</v>
      </c>
      <c r="AJ282" s="58">
        <f t="shared" si="22"/>
        <v>-0.04127171168</v>
      </c>
      <c r="AK282" s="56"/>
      <c r="AL282" s="55"/>
      <c r="AM282" s="58">
        <f>CORREL(J282:J307,K282:K307)</f>
        <v>0.1288618642</v>
      </c>
      <c r="AN282" s="65"/>
      <c r="AO282" s="55"/>
      <c r="AP282" s="56"/>
      <c r="AQ282" s="55"/>
      <c r="AR282" s="55"/>
    </row>
    <row r="283">
      <c r="A283" s="59" t="s">
        <v>499</v>
      </c>
      <c r="B283" s="59"/>
      <c r="C283" s="59" t="s">
        <v>502</v>
      </c>
      <c r="D283" s="60" t="s">
        <v>503</v>
      </c>
      <c r="E283" s="61">
        <v>26.0</v>
      </c>
      <c r="F283" s="61">
        <v>8996.0</v>
      </c>
      <c r="G283" s="61">
        <v>7747.0</v>
      </c>
      <c r="H283" s="62">
        <v>0.1690162037037037</v>
      </c>
      <c r="I283" s="61">
        <v>188.0</v>
      </c>
      <c r="J283" s="63">
        <f t="shared" si="23"/>
        <v>7.230769231</v>
      </c>
      <c r="K283" s="63">
        <v>83.86153846</v>
      </c>
      <c r="L283" s="61" t="str">
        <f t="shared" si="24"/>
        <v>81-85</v>
      </c>
      <c r="M283" s="63">
        <v>78.58</v>
      </c>
      <c r="N283" s="63">
        <v>76.92</v>
      </c>
      <c r="O283" s="63"/>
      <c r="P283" s="63">
        <v>86.42</v>
      </c>
      <c r="Q283" s="63">
        <v>87.72</v>
      </c>
      <c r="R283" s="63">
        <v>21.43</v>
      </c>
      <c r="S283" s="63">
        <v>89.69</v>
      </c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5"/>
      <c r="AM283" s="56"/>
      <c r="AN283" s="65"/>
      <c r="AO283" s="55"/>
      <c r="AP283" s="56"/>
      <c r="AQ283" s="55"/>
      <c r="AR283" s="55"/>
    </row>
    <row r="284">
      <c r="A284" s="59" t="s">
        <v>499</v>
      </c>
      <c r="B284" s="59"/>
      <c r="C284" s="59" t="s">
        <v>504</v>
      </c>
      <c r="D284" s="60" t="s">
        <v>505</v>
      </c>
      <c r="E284" s="61">
        <v>24.0</v>
      </c>
      <c r="F284" s="61">
        <v>7765.0</v>
      </c>
      <c r="G284" s="61">
        <v>7268.0</v>
      </c>
      <c r="H284" s="62">
        <v>0.1737152777777778</v>
      </c>
      <c r="I284" s="61">
        <v>137.0</v>
      </c>
      <c r="J284" s="63">
        <f t="shared" si="23"/>
        <v>5.708333333</v>
      </c>
      <c r="K284" s="63">
        <v>84.172</v>
      </c>
      <c r="L284" s="61" t="str">
        <f t="shared" si="24"/>
        <v>81-85</v>
      </c>
      <c r="M284" s="63">
        <v>74.95</v>
      </c>
      <c r="N284" s="63">
        <v>78.75</v>
      </c>
      <c r="O284" s="63"/>
      <c r="P284" s="63">
        <v>87.16</v>
      </c>
      <c r="Q284" s="63">
        <v>90.05</v>
      </c>
      <c r="R284" s="63">
        <v>0.0</v>
      </c>
      <c r="S284" s="63">
        <v>90.41</v>
      </c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5"/>
      <c r="AM284" s="56"/>
      <c r="AN284" s="65"/>
      <c r="AO284" s="55"/>
      <c r="AP284" s="56"/>
      <c r="AQ284" s="55"/>
      <c r="AR284" s="55"/>
    </row>
    <row r="285">
      <c r="A285" s="59" t="s">
        <v>499</v>
      </c>
      <c r="B285" s="59"/>
      <c r="C285" s="59" t="s">
        <v>506</v>
      </c>
      <c r="D285" s="60" t="s">
        <v>507</v>
      </c>
      <c r="E285" s="61">
        <v>25.0</v>
      </c>
      <c r="F285" s="61">
        <v>7822.0</v>
      </c>
      <c r="G285" s="61">
        <v>6672.0</v>
      </c>
      <c r="H285" s="62">
        <v>0.15966435185185185</v>
      </c>
      <c r="I285" s="61">
        <v>127.0</v>
      </c>
      <c r="J285" s="63">
        <f t="shared" si="23"/>
        <v>5.08</v>
      </c>
      <c r="K285" s="63">
        <v>84.452</v>
      </c>
      <c r="L285" s="61" t="str">
        <f t="shared" si="24"/>
        <v>81-85</v>
      </c>
      <c r="M285" s="63">
        <v>75.65</v>
      </c>
      <c r="N285" s="63">
        <v>78.82</v>
      </c>
      <c r="O285" s="63"/>
      <c r="P285" s="63">
        <v>87.6</v>
      </c>
      <c r="Q285" s="63">
        <v>89.96</v>
      </c>
      <c r="R285" s="63">
        <v>5.56</v>
      </c>
      <c r="S285" s="63">
        <v>91.06</v>
      </c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5"/>
      <c r="AM285" s="56"/>
      <c r="AN285" s="65"/>
      <c r="AO285" s="55"/>
      <c r="AP285" s="56"/>
      <c r="AQ285" s="55"/>
      <c r="AR285" s="55"/>
    </row>
    <row r="286">
      <c r="A286" s="59" t="s">
        <v>499</v>
      </c>
      <c r="B286" s="59"/>
      <c r="C286" s="59" t="s">
        <v>508</v>
      </c>
      <c r="D286" s="60" t="s">
        <v>509</v>
      </c>
      <c r="E286" s="61">
        <v>25.0</v>
      </c>
      <c r="F286" s="61">
        <v>7700.0</v>
      </c>
      <c r="G286" s="61">
        <v>6097.0</v>
      </c>
      <c r="H286" s="62">
        <v>0.18814814814814815</v>
      </c>
      <c r="I286" s="61">
        <v>91.0</v>
      </c>
      <c r="J286" s="63">
        <f t="shared" si="23"/>
        <v>3.64</v>
      </c>
      <c r="K286" s="63">
        <v>84.48</v>
      </c>
      <c r="L286" s="61" t="str">
        <f t="shared" si="24"/>
        <v>81-85</v>
      </c>
      <c r="M286" s="63">
        <v>75.6</v>
      </c>
      <c r="N286" s="63">
        <v>77.38</v>
      </c>
      <c r="O286" s="63"/>
      <c r="P286" s="63">
        <v>87.4</v>
      </c>
      <c r="Q286" s="63">
        <v>91.03</v>
      </c>
      <c r="R286" s="63">
        <v>11.67</v>
      </c>
      <c r="S286" s="63">
        <v>90.91</v>
      </c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5"/>
      <c r="AM286" s="56"/>
      <c r="AN286" s="65"/>
      <c r="AO286" s="55"/>
      <c r="AP286" s="56"/>
      <c r="AQ286" s="55"/>
      <c r="AR286" s="55"/>
    </row>
    <row r="287">
      <c r="A287" s="59" t="s">
        <v>499</v>
      </c>
      <c r="B287" s="59"/>
      <c r="C287" s="59" t="s">
        <v>510</v>
      </c>
      <c r="D287" s="60" t="s">
        <v>511</v>
      </c>
      <c r="E287" s="61">
        <v>23.0</v>
      </c>
      <c r="F287" s="61">
        <v>8533.0</v>
      </c>
      <c r="G287" s="61">
        <v>7756.0</v>
      </c>
      <c r="H287" s="62">
        <v>0.16099537037037037</v>
      </c>
      <c r="I287" s="61">
        <v>136.0</v>
      </c>
      <c r="J287" s="63">
        <f t="shared" si="23"/>
        <v>5.913043478</v>
      </c>
      <c r="K287" s="63">
        <v>84.51904762</v>
      </c>
      <c r="L287" s="61" t="str">
        <f t="shared" si="24"/>
        <v>81-85</v>
      </c>
      <c r="M287" s="63">
        <v>79.0</v>
      </c>
      <c r="N287" s="63">
        <v>78.73</v>
      </c>
      <c r="O287" s="63"/>
      <c r="P287" s="63">
        <v>86.71</v>
      </c>
      <c r="Q287" s="63">
        <v>90.28</v>
      </c>
      <c r="R287" s="63">
        <v>0.0</v>
      </c>
      <c r="S287" s="63">
        <v>89.92</v>
      </c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5"/>
      <c r="AM287" s="56"/>
      <c r="AN287" s="65"/>
      <c r="AO287" s="55"/>
      <c r="AP287" s="56"/>
      <c r="AQ287" s="55"/>
      <c r="AR287" s="55"/>
    </row>
    <row r="288">
      <c r="A288" s="59" t="s">
        <v>499</v>
      </c>
      <c r="B288" s="59"/>
      <c r="C288" s="59" t="s">
        <v>512</v>
      </c>
      <c r="D288" s="60" t="s">
        <v>513</v>
      </c>
      <c r="E288" s="61">
        <v>25.0</v>
      </c>
      <c r="F288" s="61">
        <v>8806.0</v>
      </c>
      <c r="G288" s="61">
        <v>7808.0</v>
      </c>
      <c r="H288" s="62">
        <v>0.16148148148148148</v>
      </c>
      <c r="I288" s="61">
        <v>106.0</v>
      </c>
      <c r="J288" s="63">
        <f t="shared" si="23"/>
        <v>4.24</v>
      </c>
      <c r="K288" s="63">
        <v>84.524</v>
      </c>
      <c r="L288" s="61" t="str">
        <f t="shared" si="24"/>
        <v>81-85</v>
      </c>
      <c r="M288" s="63">
        <v>75.75</v>
      </c>
      <c r="N288" s="63">
        <v>76.95</v>
      </c>
      <c r="O288" s="63"/>
      <c r="P288" s="63">
        <v>88.18</v>
      </c>
      <c r="Q288" s="63">
        <v>90.61</v>
      </c>
      <c r="R288" s="63">
        <v>0.0</v>
      </c>
      <c r="S288" s="63">
        <v>91.75</v>
      </c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5"/>
      <c r="AM288" s="56"/>
      <c r="AN288" s="65"/>
      <c r="AO288" s="55"/>
      <c r="AP288" s="56"/>
      <c r="AQ288" s="55"/>
      <c r="AR288" s="55"/>
    </row>
    <row r="289">
      <c r="A289" s="59" t="s">
        <v>499</v>
      </c>
      <c r="B289" s="59"/>
      <c r="C289" s="59">
        <v>22359.0</v>
      </c>
      <c r="D289" s="60" t="s">
        <v>514</v>
      </c>
      <c r="E289" s="61">
        <v>13.0</v>
      </c>
      <c r="F289" s="61">
        <v>3000.0</v>
      </c>
      <c r="G289" s="61">
        <v>2286.0</v>
      </c>
      <c r="H289" s="62">
        <v>0.14229166666666668</v>
      </c>
      <c r="I289" s="61">
        <v>2.0</v>
      </c>
      <c r="J289" s="63">
        <f t="shared" si="23"/>
        <v>0.1538461538</v>
      </c>
      <c r="K289" s="63">
        <v>85.0</v>
      </c>
      <c r="L289" s="61" t="str">
        <f t="shared" si="24"/>
        <v>81-85</v>
      </c>
      <c r="M289" s="63"/>
      <c r="N289" s="63"/>
      <c r="O289" s="63"/>
      <c r="P289" s="63"/>
      <c r="Q289" s="63"/>
      <c r="R289" s="63"/>
      <c r="S289" s="63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5"/>
      <c r="AM289" s="56"/>
      <c r="AN289" s="65"/>
      <c r="AO289" s="55"/>
      <c r="AP289" s="56"/>
      <c r="AQ289" s="55"/>
      <c r="AR289" s="55"/>
    </row>
    <row r="290">
      <c r="A290" s="59" t="s">
        <v>499</v>
      </c>
      <c r="B290" s="59"/>
      <c r="C290" s="59" t="s">
        <v>515</v>
      </c>
      <c r="D290" s="60" t="s">
        <v>516</v>
      </c>
      <c r="E290" s="61">
        <v>26.0</v>
      </c>
      <c r="F290" s="61">
        <v>6863.0</v>
      </c>
      <c r="G290" s="61">
        <v>6022.0</v>
      </c>
      <c r="H290" s="62">
        <v>0.17504629629629628</v>
      </c>
      <c r="I290" s="61">
        <v>148.0</v>
      </c>
      <c r="J290" s="63">
        <f t="shared" si="23"/>
        <v>5.692307692</v>
      </c>
      <c r="K290" s="63">
        <v>85.17692308</v>
      </c>
      <c r="L290" s="61" t="str">
        <f t="shared" si="24"/>
        <v>85-90</v>
      </c>
      <c r="M290" s="63">
        <v>79.55</v>
      </c>
      <c r="N290" s="63">
        <v>81.09</v>
      </c>
      <c r="O290" s="63"/>
      <c r="P290" s="63">
        <v>87.66</v>
      </c>
      <c r="Q290" s="63">
        <v>90.01</v>
      </c>
      <c r="R290" s="63">
        <v>11.11</v>
      </c>
      <c r="S290" s="63">
        <v>89.88</v>
      </c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5"/>
      <c r="AM290" s="56"/>
      <c r="AN290" s="65"/>
      <c r="AO290" s="55"/>
      <c r="AP290" s="56"/>
      <c r="AQ290" s="55"/>
      <c r="AR290" s="55"/>
    </row>
    <row r="291">
      <c r="A291" s="59" t="s">
        <v>499</v>
      </c>
      <c r="B291" s="59"/>
      <c r="C291" s="59" t="s">
        <v>517</v>
      </c>
      <c r="D291" s="60" t="s">
        <v>518</v>
      </c>
      <c r="E291" s="61">
        <v>25.0</v>
      </c>
      <c r="F291" s="61">
        <v>6739.0</v>
      </c>
      <c r="G291" s="61">
        <v>5456.0</v>
      </c>
      <c r="H291" s="62">
        <v>0.19908564814814814</v>
      </c>
      <c r="I291" s="61">
        <v>173.0</v>
      </c>
      <c r="J291" s="63">
        <f t="shared" si="23"/>
        <v>6.92</v>
      </c>
      <c r="K291" s="63">
        <v>85.80869565</v>
      </c>
      <c r="L291" s="61" t="str">
        <f t="shared" si="24"/>
        <v>85-90</v>
      </c>
      <c r="M291" s="63">
        <v>80.11</v>
      </c>
      <c r="N291" s="63">
        <v>80.59</v>
      </c>
      <c r="O291" s="63"/>
      <c r="P291" s="63">
        <v>88.28</v>
      </c>
      <c r="Q291" s="63">
        <v>90.37</v>
      </c>
      <c r="R291" s="63">
        <v>10.0</v>
      </c>
      <c r="S291" s="63">
        <v>91.06</v>
      </c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5"/>
      <c r="AM291" s="56"/>
      <c r="AN291" s="65"/>
      <c r="AO291" s="55"/>
      <c r="AP291" s="56"/>
      <c r="AQ291" s="55"/>
      <c r="AR291" s="55"/>
    </row>
    <row r="292">
      <c r="A292" s="59" t="s">
        <v>499</v>
      </c>
      <c r="B292" s="59"/>
      <c r="C292" s="59" t="s">
        <v>519</v>
      </c>
      <c r="D292" s="60" t="s">
        <v>520</v>
      </c>
      <c r="E292" s="61">
        <v>27.0</v>
      </c>
      <c r="F292" s="61">
        <v>9650.0</v>
      </c>
      <c r="G292" s="61">
        <v>8661.0</v>
      </c>
      <c r="H292" s="62">
        <v>0.15916666666666668</v>
      </c>
      <c r="I292" s="61">
        <v>191.0</v>
      </c>
      <c r="J292" s="63">
        <f t="shared" si="23"/>
        <v>7.074074074</v>
      </c>
      <c r="K292" s="63">
        <v>85.88518519</v>
      </c>
      <c r="L292" s="61" t="str">
        <f t="shared" si="24"/>
        <v>85-90</v>
      </c>
      <c r="M292" s="63">
        <v>80.48</v>
      </c>
      <c r="N292" s="63">
        <v>82.09</v>
      </c>
      <c r="O292" s="63"/>
      <c r="P292" s="63">
        <v>88.81</v>
      </c>
      <c r="Q292" s="63">
        <v>91.46</v>
      </c>
      <c r="R292" s="63">
        <v>0.0</v>
      </c>
      <c r="S292" s="63">
        <v>92.23</v>
      </c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5"/>
      <c r="AM292" s="56"/>
      <c r="AN292" s="65"/>
      <c r="AO292" s="55"/>
      <c r="AP292" s="56"/>
      <c r="AQ292" s="55"/>
      <c r="AR292" s="55"/>
    </row>
    <row r="293">
      <c r="A293" s="59" t="s">
        <v>499</v>
      </c>
      <c r="B293" s="59"/>
      <c r="C293" s="59" t="s">
        <v>521</v>
      </c>
      <c r="D293" s="60" t="s">
        <v>522</v>
      </c>
      <c r="E293" s="61">
        <v>25.0</v>
      </c>
      <c r="F293" s="61">
        <v>10051.0</v>
      </c>
      <c r="G293" s="61">
        <v>9144.0</v>
      </c>
      <c r="H293" s="62">
        <v>0.13980324074074074</v>
      </c>
      <c r="I293" s="61">
        <v>144.0</v>
      </c>
      <c r="J293" s="63">
        <f t="shared" si="23"/>
        <v>5.76</v>
      </c>
      <c r="K293" s="63">
        <v>86.24782609</v>
      </c>
      <c r="L293" s="61" t="str">
        <f t="shared" si="24"/>
        <v>85-90</v>
      </c>
      <c r="M293" s="63">
        <v>76.41</v>
      </c>
      <c r="N293" s="63">
        <v>84.53</v>
      </c>
      <c r="O293" s="63"/>
      <c r="P293" s="63">
        <v>88.68</v>
      </c>
      <c r="Q293" s="63">
        <v>90.48</v>
      </c>
      <c r="R293" s="63">
        <v>16.67</v>
      </c>
      <c r="S293" s="63">
        <v>90.67</v>
      </c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5"/>
      <c r="AM293" s="56"/>
      <c r="AN293" s="65"/>
      <c r="AO293" s="55"/>
      <c r="AP293" s="56"/>
      <c r="AQ293" s="55"/>
      <c r="AR293" s="55"/>
    </row>
    <row r="294">
      <c r="A294" s="59" t="s">
        <v>499</v>
      </c>
      <c r="B294" s="59"/>
      <c r="C294" s="59" t="s">
        <v>523</v>
      </c>
      <c r="D294" s="60" t="s">
        <v>524</v>
      </c>
      <c r="E294" s="61">
        <v>23.0</v>
      </c>
      <c r="F294" s="61">
        <v>5408.0</v>
      </c>
      <c r="G294" s="61">
        <v>4578.0</v>
      </c>
      <c r="H294" s="62">
        <v>0.1716550925925926</v>
      </c>
      <c r="I294" s="61">
        <v>122.0</v>
      </c>
      <c r="J294" s="63">
        <f t="shared" si="23"/>
        <v>5.304347826</v>
      </c>
      <c r="K294" s="63">
        <v>86.28695652</v>
      </c>
      <c r="L294" s="61" t="str">
        <f t="shared" si="24"/>
        <v>85-90</v>
      </c>
      <c r="M294" s="63">
        <v>78.95</v>
      </c>
      <c r="N294" s="63">
        <v>81.03</v>
      </c>
      <c r="O294" s="63"/>
      <c r="P294" s="63">
        <v>89.15</v>
      </c>
      <c r="Q294" s="63">
        <v>91.23</v>
      </c>
      <c r="R294" s="63">
        <v>13.46</v>
      </c>
      <c r="S294" s="63">
        <v>91.34</v>
      </c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5"/>
      <c r="AM294" s="56"/>
      <c r="AN294" s="65"/>
      <c r="AO294" s="55"/>
      <c r="AP294" s="56"/>
      <c r="AQ294" s="55"/>
      <c r="AR294" s="55"/>
    </row>
    <row r="295">
      <c r="A295" s="59" t="s">
        <v>499</v>
      </c>
      <c r="B295" s="59"/>
      <c r="C295" s="59" t="s">
        <v>525</v>
      </c>
      <c r="D295" s="60" t="s">
        <v>526</v>
      </c>
      <c r="E295" s="61">
        <v>23.0</v>
      </c>
      <c r="F295" s="61">
        <v>4333.0</v>
      </c>
      <c r="G295" s="61">
        <v>3681.0</v>
      </c>
      <c r="H295" s="62">
        <v>0.2151273148148148</v>
      </c>
      <c r="I295" s="61">
        <v>89.0</v>
      </c>
      <c r="J295" s="63">
        <f t="shared" si="23"/>
        <v>3.869565217</v>
      </c>
      <c r="K295" s="63">
        <v>87.23913043</v>
      </c>
      <c r="L295" s="61" t="str">
        <f t="shared" si="24"/>
        <v>85-90</v>
      </c>
      <c r="M295" s="63">
        <v>81.84</v>
      </c>
      <c r="N295" s="63">
        <v>80.79</v>
      </c>
      <c r="O295" s="63"/>
      <c r="P295" s="63">
        <v>89.02</v>
      </c>
      <c r="Q295" s="63">
        <v>92.07</v>
      </c>
      <c r="R295" s="63">
        <v>16.67</v>
      </c>
      <c r="S295" s="63">
        <v>92.09</v>
      </c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5"/>
      <c r="AM295" s="56"/>
      <c r="AN295" s="65"/>
      <c r="AO295" s="55"/>
      <c r="AP295" s="56"/>
      <c r="AQ295" s="55"/>
      <c r="AR295" s="55"/>
    </row>
    <row r="296">
      <c r="A296" s="59" t="s">
        <v>499</v>
      </c>
      <c r="B296" s="59"/>
      <c r="C296" s="59" t="s">
        <v>527</v>
      </c>
      <c r="D296" s="60" t="s">
        <v>528</v>
      </c>
      <c r="E296" s="61">
        <v>26.0</v>
      </c>
      <c r="F296" s="61">
        <v>9958.0</v>
      </c>
      <c r="G296" s="61">
        <v>8259.0</v>
      </c>
      <c r="H296" s="62">
        <v>0.1740972222222222</v>
      </c>
      <c r="I296" s="61">
        <v>167.0</v>
      </c>
      <c r="J296" s="63">
        <f t="shared" si="23"/>
        <v>6.423076923</v>
      </c>
      <c r="K296" s="63">
        <v>87.29230769</v>
      </c>
      <c r="L296" s="61" t="str">
        <f t="shared" si="24"/>
        <v>85-90</v>
      </c>
      <c r="M296" s="63">
        <v>77.33</v>
      </c>
      <c r="N296" s="63">
        <v>83.31</v>
      </c>
      <c r="O296" s="63"/>
      <c r="P296" s="63">
        <v>90.35</v>
      </c>
      <c r="Q296" s="63">
        <v>93.22</v>
      </c>
      <c r="R296" s="63">
        <v>12.5</v>
      </c>
      <c r="S296" s="63">
        <v>93.38</v>
      </c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5"/>
      <c r="AM296" s="56"/>
      <c r="AN296" s="65"/>
      <c r="AO296" s="55"/>
      <c r="AP296" s="56"/>
      <c r="AQ296" s="55"/>
      <c r="AR296" s="55"/>
    </row>
    <row r="297">
      <c r="A297" s="59" t="s">
        <v>499</v>
      </c>
      <c r="B297" s="59"/>
      <c r="C297" s="59" t="s">
        <v>529</v>
      </c>
      <c r="D297" s="60" t="s">
        <v>530</v>
      </c>
      <c r="E297" s="61">
        <v>19.0</v>
      </c>
      <c r="F297" s="61">
        <v>4442.0</v>
      </c>
      <c r="G297" s="61">
        <v>3786.0</v>
      </c>
      <c r="H297" s="62">
        <v>0.1391550925925926</v>
      </c>
      <c r="I297" s="61">
        <v>81.0</v>
      </c>
      <c r="J297" s="63">
        <f t="shared" si="23"/>
        <v>4.263157895</v>
      </c>
      <c r="K297" s="63">
        <v>87.34736842</v>
      </c>
      <c r="L297" s="61" t="str">
        <f t="shared" si="24"/>
        <v>85-90</v>
      </c>
      <c r="M297" s="63">
        <v>80.59</v>
      </c>
      <c r="N297" s="63">
        <v>83.35</v>
      </c>
      <c r="O297" s="63"/>
      <c r="P297" s="63">
        <v>89.88</v>
      </c>
      <c r="Q297" s="63">
        <v>91.44</v>
      </c>
      <c r="R297" s="63">
        <v>0.0</v>
      </c>
      <c r="S297" s="63">
        <v>92.01</v>
      </c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5"/>
      <c r="AM297" s="56"/>
      <c r="AN297" s="65"/>
      <c r="AO297" s="55"/>
      <c r="AP297" s="56"/>
      <c r="AQ297" s="55"/>
      <c r="AR297" s="55"/>
    </row>
    <row r="298">
      <c r="A298" s="59" t="s">
        <v>499</v>
      </c>
      <c r="B298" s="59"/>
      <c r="C298" s="59" t="s">
        <v>531</v>
      </c>
      <c r="D298" s="60" t="s">
        <v>532</v>
      </c>
      <c r="E298" s="61">
        <v>25.0</v>
      </c>
      <c r="F298" s="61">
        <v>7769.0</v>
      </c>
      <c r="G298" s="61">
        <v>6165.0</v>
      </c>
      <c r="H298" s="62">
        <v>0.15114583333333334</v>
      </c>
      <c r="I298" s="61">
        <v>130.0</v>
      </c>
      <c r="J298" s="63">
        <f t="shared" si="23"/>
        <v>5.2</v>
      </c>
      <c r="K298" s="63">
        <v>87.416</v>
      </c>
      <c r="L298" s="61" t="str">
        <f t="shared" si="24"/>
        <v>85-90</v>
      </c>
      <c r="M298" s="63">
        <v>81.45</v>
      </c>
      <c r="N298" s="63">
        <v>81.26</v>
      </c>
      <c r="O298" s="63"/>
      <c r="P298" s="63">
        <v>90.22</v>
      </c>
      <c r="Q298" s="63">
        <v>91.02</v>
      </c>
      <c r="R298" s="63">
        <v>3.33</v>
      </c>
      <c r="S298" s="63">
        <v>92.86</v>
      </c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5"/>
      <c r="AM298" s="56"/>
      <c r="AN298" s="65"/>
      <c r="AO298" s="55"/>
      <c r="AP298" s="56"/>
      <c r="AQ298" s="55"/>
      <c r="AR298" s="55"/>
    </row>
    <row r="299">
      <c r="A299" s="59" t="s">
        <v>499</v>
      </c>
      <c r="B299" s="59"/>
      <c r="C299" s="59" t="s">
        <v>533</v>
      </c>
      <c r="D299" s="60" t="s">
        <v>534</v>
      </c>
      <c r="E299" s="61">
        <v>23.0</v>
      </c>
      <c r="F299" s="61">
        <v>8313.0</v>
      </c>
      <c r="G299" s="61">
        <v>6936.0</v>
      </c>
      <c r="H299" s="62">
        <v>0.19385416666666666</v>
      </c>
      <c r="I299" s="61">
        <v>277.0</v>
      </c>
      <c r="J299" s="63">
        <f t="shared" si="23"/>
        <v>12.04347826</v>
      </c>
      <c r="K299" s="63">
        <v>87.43181818</v>
      </c>
      <c r="L299" s="61" t="str">
        <f t="shared" si="24"/>
        <v>85-90</v>
      </c>
      <c r="M299" s="63">
        <v>80.48</v>
      </c>
      <c r="N299" s="63">
        <v>85.25</v>
      </c>
      <c r="O299" s="63"/>
      <c r="P299" s="63">
        <v>89.15</v>
      </c>
      <c r="Q299" s="63">
        <v>90.6</v>
      </c>
      <c r="R299" s="63">
        <v>20.0</v>
      </c>
      <c r="S299" s="63">
        <v>91.81</v>
      </c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5"/>
      <c r="AM299" s="56"/>
      <c r="AN299" s="65"/>
      <c r="AO299" s="55"/>
      <c r="AP299" s="56"/>
      <c r="AQ299" s="55"/>
      <c r="AR299" s="55"/>
    </row>
    <row r="300">
      <c r="A300" s="59" t="s">
        <v>499</v>
      </c>
      <c r="B300" s="59"/>
      <c r="C300" s="59" t="s">
        <v>535</v>
      </c>
      <c r="D300" s="60" t="s">
        <v>536</v>
      </c>
      <c r="E300" s="61">
        <v>22.0</v>
      </c>
      <c r="F300" s="61">
        <v>7114.0</v>
      </c>
      <c r="G300" s="61">
        <v>5944.0</v>
      </c>
      <c r="H300" s="62">
        <v>0.20737268518518517</v>
      </c>
      <c r="I300" s="61">
        <v>182.0</v>
      </c>
      <c r="J300" s="63">
        <f t="shared" si="23"/>
        <v>8.272727273</v>
      </c>
      <c r="K300" s="63">
        <v>87.645</v>
      </c>
      <c r="L300" s="61" t="str">
        <f t="shared" si="24"/>
        <v>85-90</v>
      </c>
      <c r="M300" s="63">
        <v>81.06</v>
      </c>
      <c r="N300" s="63">
        <v>83.54</v>
      </c>
      <c r="O300" s="63"/>
      <c r="P300" s="63">
        <v>89.25</v>
      </c>
      <c r="Q300" s="63">
        <v>92.99</v>
      </c>
      <c r="R300" s="63">
        <v>30.56</v>
      </c>
      <c r="S300" s="63">
        <v>92.64</v>
      </c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5"/>
      <c r="AM300" s="56"/>
      <c r="AN300" s="65"/>
      <c r="AO300" s="55"/>
      <c r="AP300" s="56"/>
      <c r="AQ300" s="55"/>
      <c r="AR300" s="55"/>
    </row>
    <row r="301">
      <c r="A301" s="59" t="s">
        <v>499</v>
      </c>
      <c r="B301" s="59"/>
      <c r="C301" s="59" t="s">
        <v>537</v>
      </c>
      <c r="D301" s="60" t="s">
        <v>538</v>
      </c>
      <c r="E301" s="61">
        <v>27.0</v>
      </c>
      <c r="F301" s="61">
        <v>7335.0</v>
      </c>
      <c r="G301" s="61">
        <v>6639.0</v>
      </c>
      <c r="H301" s="62">
        <v>0.16814814814814816</v>
      </c>
      <c r="I301" s="61">
        <v>151.0</v>
      </c>
      <c r="J301" s="63">
        <f t="shared" si="23"/>
        <v>5.592592593</v>
      </c>
      <c r="K301" s="63">
        <v>87.68888889</v>
      </c>
      <c r="L301" s="61" t="str">
        <f t="shared" si="24"/>
        <v>85-90</v>
      </c>
      <c r="M301" s="63">
        <v>84.36</v>
      </c>
      <c r="N301" s="63">
        <v>85.07</v>
      </c>
      <c r="O301" s="63"/>
      <c r="P301" s="63">
        <v>89.9</v>
      </c>
      <c r="Q301" s="63">
        <v>90.58</v>
      </c>
      <c r="R301" s="63">
        <v>13.89</v>
      </c>
      <c r="S301" s="63">
        <v>92.4</v>
      </c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5"/>
      <c r="AM301" s="56"/>
      <c r="AN301" s="65"/>
      <c r="AO301" s="55"/>
      <c r="AP301" s="56"/>
      <c r="AQ301" s="55"/>
      <c r="AR301" s="55"/>
    </row>
    <row r="302">
      <c r="A302" s="59" t="s">
        <v>499</v>
      </c>
      <c r="B302" s="59"/>
      <c r="C302" s="59" t="s">
        <v>539</v>
      </c>
      <c r="D302" s="60" t="s">
        <v>540</v>
      </c>
      <c r="E302" s="61">
        <v>27.0</v>
      </c>
      <c r="F302" s="61">
        <v>8782.0</v>
      </c>
      <c r="G302" s="61">
        <v>7352.0</v>
      </c>
      <c r="H302" s="62">
        <v>0.1779976851851852</v>
      </c>
      <c r="I302" s="61">
        <v>150.0</v>
      </c>
      <c r="J302" s="63">
        <f t="shared" si="23"/>
        <v>5.555555556</v>
      </c>
      <c r="K302" s="63">
        <v>87.83333333</v>
      </c>
      <c r="L302" s="61" t="str">
        <f t="shared" si="24"/>
        <v>85-90</v>
      </c>
      <c r="M302" s="63">
        <v>80.33</v>
      </c>
      <c r="N302" s="63">
        <v>84.06</v>
      </c>
      <c r="O302" s="63"/>
      <c r="P302" s="63">
        <v>90.25</v>
      </c>
      <c r="Q302" s="63">
        <v>92.07</v>
      </c>
      <c r="R302" s="63">
        <v>17.78</v>
      </c>
      <c r="S302" s="63">
        <v>92.68</v>
      </c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5"/>
      <c r="AM302" s="56"/>
      <c r="AN302" s="65"/>
      <c r="AO302" s="55"/>
      <c r="AP302" s="56"/>
      <c r="AQ302" s="55"/>
      <c r="AR302" s="55"/>
    </row>
    <row r="303">
      <c r="A303" s="59" t="s">
        <v>499</v>
      </c>
      <c r="B303" s="59"/>
      <c r="C303" s="59" t="s">
        <v>541</v>
      </c>
      <c r="D303" s="60" t="s">
        <v>542</v>
      </c>
      <c r="E303" s="61">
        <v>25.0</v>
      </c>
      <c r="F303" s="61">
        <v>4892.0</v>
      </c>
      <c r="G303" s="61">
        <v>3826.0</v>
      </c>
      <c r="H303" s="62">
        <v>0.18430555555555556</v>
      </c>
      <c r="I303" s="61">
        <v>120.0</v>
      </c>
      <c r="J303" s="63">
        <f t="shared" si="23"/>
        <v>4.8</v>
      </c>
      <c r="K303" s="63">
        <v>88.792</v>
      </c>
      <c r="L303" s="61" t="str">
        <f t="shared" si="24"/>
        <v>85-90</v>
      </c>
      <c r="M303" s="63">
        <v>83.21</v>
      </c>
      <c r="N303" s="63">
        <v>83.53</v>
      </c>
      <c r="O303" s="63"/>
      <c r="P303" s="63">
        <v>91.04</v>
      </c>
      <c r="Q303" s="63">
        <v>92.13</v>
      </c>
      <c r="R303" s="63">
        <v>27.08</v>
      </c>
      <c r="S303" s="63">
        <v>92.32</v>
      </c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5"/>
      <c r="AM303" s="56"/>
      <c r="AN303" s="65"/>
      <c r="AO303" s="55"/>
      <c r="AP303" s="56"/>
      <c r="AQ303" s="55"/>
      <c r="AR303" s="55"/>
    </row>
    <row r="304">
      <c r="A304" s="59" t="s">
        <v>499</v>
      </c>
      <c r="B304" s="59"/>
      <c r="C304" s="59" t="s">
        <v>543</v>
      </c>
      <c r="D304" s="60" t="s">
        <v>544</v>
      </c>
      <c r="E304" s="61">
        <v>26.0</v>
      </c>
      <c r="F304" s="61">
        <v>10047.0</v>
      </c>
      <c r="G304" s="61">
        <v>9128.0</v>
      </c>
      <c r="H304" s="62">
        <v>0.17017361111111112</v>
      </c>
      <c r="I304" s="61">
        <v>156.0</v>
      </c>
      <c r="J304" s="63">
        <f t="shared" si="23"/>
        <v>6</v>
      </c>
      <c r="K304" s="63">
        <v>89.20769231</v>
      </c>
      <c r="L304" s="61" t="str">
        <f t="shared" si="24"/>
        <v>85-90</v>
      </c>
      <c r="M304" s="63">
        <v>83.36</v>
      </c>
      <c r="N304" s="63">
        <v>86.03</v>
      </c>
      <c r="O304" s="63"/>
      <c r="P304" s="63">
        <v>90.72</v>
      </c>
      <c r="Q304" s="63">
        <v>92.0</v>
      </c>
      <c r="R304" s="63">
        <v>15.56</v>
      </c>
      <c r="S304" s="63">
        <v>93.08</v>
      </c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5"/>
      <c r="AM304" s="56"/>
      <c r="AN304" s="65"/>
      <c r="AO304" s="55"/>
      <c r="AP304" s="56"/>
      <c r="AQ304" s="55"/>
      <c r="AR304" s="55"/>
    </row>
    <row r="305">
      <c r="A305" s="59" t="s">
        <v>499</v>
      </c>
      <c r="B305" s="59"/>
      <c r="C305" s="59" t="s">
        <v>545</v>
      </c>
      <c r="D305" s="60" t="s">
        <v>546</v>
      </c>
      <c r="E305" s="61">
        <v>24.0</v>
      </c>
      <c r="F305" s="61">
        <v>7969.0</v>
      </c>
      <c r="G305" s="61">
        <v>7353.0</v>
      </c>
      <c r="H305" s="62">
        <v>0.16193287037037038</v>
      </c>
      <c r="I305" s="61">
        <v>128.0</v>
      </c>
      <c r="J305" s="63">
        <f t="shared" si="23"/>
        <v>5.333333333</v>
      </c>
      <c r="K305" s="63">
        <v>89.4375</v>
      </c>
      <c r="L305" s="61" t="str">
        <f t="shared" si="24"/>
        <v>85-90</v>
      </c>
      <c r="M305" s="63">
        <v>83.91</v>
      </c>
      <c r="N305" s="63">
        <v>85.9</v>
      </c>
      <c r="O305" s="63"/>
      <c r="P305" s="63">
        <v>91.41</v>
      </c>
      <c r="Q305" s="63">
        <v>92.86</v>
      </c>
      <c r="R305" s="63">
        <v>6.25</v>
      </c>
      <c r="S305" s="63">
        <v>93.4</v>
      </c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5"/>
      <c r="AM305" s="56"/>
      <c r="AN305" s="65"/>
      <c r="AO305" s="55"/>
      <c r="AP305" s="56"/>
      <c r="AQ305" s="55"/>
      <c r="AR305" s="55"/>
    </row>
    <row r="306">
      <c r="A306" s="59" t="s">
        <v>499</v>
      </c>
      <c r="B306" s="59"/>
      <c r="C306" s="59" t="s">
        <v>547</v>
      </c>
      <c r="D306" s="60" t="s">
        <v>548</v>
      </c>
      <c r="E306" s="61">
        <v>25.0</v>
      </c>
      <c r="F306" s="61">
        <v>6830.0</v>
      </c>
      <c r="G306" s="61">
        <v>5686.0</v>
      </c>
      <c r="H306" s="62">
        <v>0.18215277777777777</v>
      </c>
      <c r="I306" s="61">
        <v>121.0</v>
      </c>
      <c r="J306" s="63">
        <f t="shared" si="23"/>
        <v>4.84</v>
      </c>
      <c r="K306" s="63">
        <v>89.9</v>
      </c>
      <c r="L306" s="61" t="str">
        <f t="shared" si="24"/>
        <v>85-90</v>
      </c>
      <c r="M306" s="63">
        <v>83.2</v>
      </c>
      <c r="N306" s="63">
        <v>85.41</v>
      </c>
      <c r="O306" s="63"/>
      <c r="P306" s="63">
        <v>92.9</v>
      </c>
      <c r="Q306" s="63">
        <v>94.15</v>
      </c>
      <c r="R306" s="63">
        <v>0.0</v>
      </c>
      <c r="S306" s="63">
        <v>95.2</v>
      </c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5"/>
      <c r="AM306" s="56"/>
      <c r="AN306" s="65"/>
      <c r="AO306" s="55"/>
      <c r="AP306" s="56"/>
      <c r="AQ306" s="55"/>
      <c r="AR306" s="55"/>
    </row>
    <row r="307">
      <c r="A307" s="59" t="s">
        <v>499</v>
      </c>
      <c r="B307" s="59"/>
      <c r="C307" s="59" t="s">
        <v>549</v>
      </c>
      <c r="D307" s="60" t="s">
        <v>550</v>
      </c>
      <c r="E307" s="61">
        <v>23.0</v>
      </c>
      <c r="F307" s="61">
        <v>7481.0</v>
      </c>
      <c r="G307" s="61">
        <v>7076.0</v>
      </c>
      <c r="H307" s="62">
        <v>0.17623842592592592</v>
      </c>
      <c r="I307" s="61">
        <v>99.0</v>
      </c>
      <c r="J307" s="63">
        <f t="shared" si="23"/>
        <v>4.304347826</v>
      </c>
      <c r="K307" s="63">
        <v>84.55652174</v>
      </c>
      <c r="L307" s="61" t="str">
        <f t="shared" si="24"/>
        <v>81-85</v>
      </c>
      <c r="M307" s="63">
        <v>76.06</v>
      </c>
      <c r="N307" s="63">
        <v>80.21</v>
      </c>
      <c r="O307" s="63"/>
      <c r="P307" s="63">
        <v>86.72</v>
      </c>
      <c r="Q307" s="63">
        <v>90.39</v>
      </c>
      <c r="R307" s="63">
        <v>9.0</v>
      </c>
      <c r="S307" s="63">
        <v>90.56</v>
      </c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65"/>
      <c r="AO307" s="56"/>
      <c r="AP307" s="56"/>
      <c r="AQ307" s="56"/>
      <c r="AR307" s="56"/>
    </row>
    <row r="308">
      <c r="A308" s="65"/>
      <c r="B308" s="65"/>
      <c r="C308" s="65"/>
      <c r="D308" s="65"/>
      <c r="E308" s="65"/>
      <c r="F308" s="65"/>
      <c r="G308" s="65"/>
      <c r="H308" s="65"/>
      <c r="I308" s="69"/>
      <c r="J308" s="70"/>
      <c r="K308" s="71"/>
      <c r="L308" s="69"/>
      <c r="M308" s="70"/>
      <c r="N308" s="70"/>
      <c r="O308" s="70"/>
      <c r="P308" s="70"/>
      <c r="Q308" s="70"/>
      <c r="R308" s="70"/>
      <c r="S308" s="70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65"/>
      <c r="AO308" s="56"/>
      <c r="AP308" s="56"/>
      <c r="AQ308" s="56"/>
      <c r="AR308" s="56"/>
    </row>
    <row r="309">
      <c r="A309" s="65"/>
      <c r="B309" s="65"/>
      <c r="C309" s="65"/>
      <c r="D309" s="65"/>
      <c r="E309" s="65"/>
      <c r="F309" s="65"/>
      <c r="G309" s="65"/>
      <c r="H309" s="65"/>
      <c r="I309" s="69"/>
      <c r="J309" s="70"/>
      <c r="K309" s="71"/>
      <c r="L309" s="69"/>
      <c r="M309" s="70"/>
      <c r="N309" s="70"/>
      <c r="O309" s="70"/>
      <c r="P309" s="70"/>
      <c r="Q309" s="70"/>
      <c r="R309" s="70"/>
      <c r="S309" s="70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65"/>
      <c r="AO309" s="56"/>
      <c r="AP309" s="56"/>
      <c r="AQ309" s="56"/>
      <c r="AR309" s="56"/>
    </row>
    <row r="310">
      <c r="A310" s="65"/>
      <c r="B310" s="65"/>
      <c r="C310" s="65"/>
      <c r="D310" s="65"/>
      <c r="E310" s="65"/>
      <c r="F310" s="65"/>
      <c r="G310" s="65"/>
      <c r="H310" s="65"/>
      <c r="I310" s="69"/>
      <c r="J310" s="70"/>
      <c r="K310" s="71"/>
      <c r="L310" s="69"/>
      <c r="M310" s="70"/>
      <c r="N310" s="70"/>
      <c r="O310" s="70"/>
      <c r="P310" s="70"/>
      <c r="Q310" s="70"/>
      <c r="R310" s="70"/>
      <c r="S310" s="70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65"/>
      <c r="AO310" s="56"/>
      <c r="AP310" s="56"/>
      <c r="AQ310" s="56"/>
      <c r="AR310" s="56"/>
    </row>
    <row r="311">
      <c r="A311" s="65"/>
      <c r="B311" s="65"/>
      <c r="C311" s="65"/>
      <c r="D311" s="65"/>
      <c r="E311" s="65"/>
      <c r="F311" s="65"/>
      <c r="G311" s="65"/>
      <c r="H311" s="65"/>
      <c r="I311" s="69"/>
      <c r="J311" s="70"/>
      <c r="K311" s="71"/>
      <c r="L311" s="69"/>
      <c r="M311" s="70"/>
      <c r="N311" s="70"/>
      <c r="O311" s="70"/>
      <c r="P311" s="70"/>
      <c r="Q311" s="70"/>
      <c r="R311" s="70"/>
      <c r="S311" s="70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65"/>
      <c r="AO311" s="56"/>
      <c r="AP311" s="56"/>
      <c r="AQ311" s="56"/>
      <c r="AR311" s="56"/>
    </row>
    <row r="312">
      <c r="A312" s="65"/>
      <c r="B312" s="65"/>
      <c r="C312" s="65"/>
      <c r="D312" s="65"/>
      <c r="E312" s="65"/>
      <c r="F312" s="65"/>
      <c r="G312" s="65"/>
      <c r="H312" s="65"/>
      <c r="I312" s="69"/>
      <c r="J312" s="70"/>
      <c r="K312" s="71"/>
      <c r="L312" s="69"/>
      <c r="M312" s="70"/>
      <c r="N312" s="70"/>
      <c r="O312" s="70"/>
      <c r="P312" s="70"/>
      <c r="Q312" s="70"/>
      <c r="R312" s="70"/>
      <c r="S312" s="70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65"/>
      <c r="AO312" s="56"/>
      <c r="AP312" s="56"/>
      <c r="AQ312" s="56"/>
      <c r="AR312" s="56"/>
    </row>
    <row r="313">
      <c r="A313" s="65"/>
      <c r="B313" s="65"/>
      <c r="C313" s="65"/>
      <c r="D313" s="65"/>
      <c r="E313" s="65"/>
      <c r="F313" s="65"/>
      <c r="G313" s="65"/>
      <c r="H313" s="65"/>
      <c r="I313" s="69"/>
      <c r="J313" s="70"/>
      <c r="K313" s="71"/>
      <c r="L313" s="69"/>
      <c r="M313" s="70"/>
      <c r="N313" s="70"/>
      <c r="O313" s="70"/>
      <c r="P313" s="70"/>
      <c r="Q313" s="70"/>
      <c r="R313" s="70"/>
      <c r="S313" s="70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65"/>
      <c r="AO313" s="56"/>
      <c r="AP313" s="56"/>
      <c r="AQ313" s="56"/>
      <c r="AR313" s="56"/>
    </row>
    <row r="314">
      <c r="A314" s="65"/>
      <c r="B314" s="65"/>
      <c r="C314" s="65"/>
      <c r="D314" s="65"/>
      <c r="E314" s="65"/>
      <c r="F314" s="65"/>
      <c r="G314" s="65"/>
      <c r="H314" s="65"/>
      <c r="I314" s="69"/>
      <c r="J314" s="70"/>
      <c r="K314" s="70"/>
      <c r="L314" s="69"/>
      <c r="M314" s="70"/>
      <c r="N314" s="70"/>
      <c r="O314" s="70"/>
      <c r="P314" s="70"/>
      <c r="Q314" s="70"/>
      <c r="R314" s="70"/>
      <c r="S314" s="70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65"/>
      <c r="AO314" s="56"/>
      <c r="AP314" s="56"/>
      <c r="AQ314" s="56"/>
      <c r="AR314" s="56"/>
    </row>
    <row r="315">
      <c r="A315" s="65"/>
      <c r="B315" s="65"/>
      <c r="C315" s="65"/>
      <c r="D315" s="65"/>
      <c r="E315" s="65"/>
      <c r="F315" s="65"/>
      <c r="G315" s="65"/>
      <c r="H315" s="65"/>
      <c r="I315" s="69"/>
      <c r="J315" s="70"/>
      <c r="K315" s="70"/>
      <c r="L315" s="69"/>
      <c r="M315" s="70"/>
      <c r="N315" s="70"/>
      <c r="O315" s="70"/>
      <c r="P315" s="70"/>
      <c r="Q315" s="70"/>
      <c r="R315" s="70"/>
      <c r="S315" s="70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65"/>
      <c r="AO315" s="56"/>
      <c r="AP315" s="56"/>
      <c r="AQ315" s="56"/>
      <c r="AR315" s="56"/>
    </row>
    <row r="316">
      <c r="A316" s="65"/>
      <c r="B316" s="65"/>
      <c r="C316" s="65"/>
      <c r="D316" s="65"/>
      <c r="E316" s="65"/>
      <c r="F316" s="65"/>
      <c r="G316" s="65"/>
      <c r="H316" s="65"/>
      <c r="I316" s="69"/>
      <c r="J316" s="70"/>
      <c r="K316" s="70"/>
      <c r="L316" s="69"/>
      <c r="M316" s="70"/>
      <c r="N316" s="70"/>
      <c r="O316" s="70"/>
      <c r="P316" s="70"/>
      <c r="Q316" s="70"/>
      <c r="R316" s="70"/>
      <c r="S316" s="70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65"/>
      <c r="AO316" s="56"/>
      <c r="AP316" s="56"/>
      <c r="AQ316" s="56"/>
      <c r="AR316" s="56"/>
    </row>
    <row r="317">
      <c r="A317" s="65"/>
      <c r="B317" s="65"/>
      <c r="C317" s="65"/>
      <c r="D317" s="65"/>
      <c r="E317" s="65"/>
      <c r="F317" s="65"/>
      <c r="G317" s="65"/>
      <c r="H317" s="65"/>
      <c r="I317" s="69"/>
      <c r="J317" s="70"/>
      <c r="K317" s="70"/>
      <c r="L317" s="69"/>
      <c r="M317" s="70"/>
      <c r="N317" s="70"/>
      <c r="O317" s="70"/>
      <c r="P317" s="70"/>
      <c r="Q317" s="70"/>
      <c r="R317" s="70"/>
      <c r="S317" s="70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65"/>
      <c r="AO317" s="56"/>
      <c r="AP317" s="56"/>
      <c r="AQ317" s="56"/>
      <c r="AR317" s="56"/>
    </row>
    <row r="318">
      <c r="A318" s="65"/>
      <c r="B318" s="65"/>
      <c r="C318" s="65"/>
      <c r="D318" s="65"/>
      <c r="E318" s="65"/>
      <c r="F318" s="65"/>
      <c r="G318" s="65"/>
      <c r="H318" s="65"/>
      <c r="I318" s="69"/>
      <c r="J318" s="70"/>
      <c r="K318" s="70"/>
      <c r="L318" s="69"/>
      <c r="M318" s="70"/>
      <c r="N318" s="70"/>
      <c r="O318" s="70"/>
      <c r="P318" s="70"/>
      <c r="Q318" s="70"/>
      <c r="R318" s="70"/>
      <c r="S318" s="70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65"/>
      <c r="AO318" s="56"/>
      <c r="AP318" s="56"/>
      <c r="AQ318" s="56"/>
      <c r="AR318" s="56"/>
    </row>
    <row r="319">
      <c r="A319" s="65"/>
      <c r="B319" s="65"/>
      <c r="C319" s="65"/>
      <c r="D319" s="65"/>
      <c r="E319" s="65"/>
      <c r="F319" s="65"/>
      <c r="G319" s="65"/>
      <c r="H319" s="65"/>
      <c r="I319" s="69"/>
      <c r="J319" s="70"/>
      <c r="K319" s="70"/>
      <c r="L319" s="69"/>
      <c r="M319" s="70"/>
      <c r="N319" s="70"/>
      <c r="O319" s="70"/>
      <c r="P319" s="70"/>
      <c r="Q319" s="70"/>
      <c r="R319" s="70"/>
      <c r="S319" s="70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65"/>
      <c r="AO319" s="56"/>
      <c r="AP319" s="56"/>
      <c r="AQ319" s="56"/>
      <c r="AR319" s="56"/>
    </row>
    <row r="320">
      <c r="A320" s="65"/>
      <c r="B320" s="65"/>
      <c r="C320" s="65"/>
      <c r="D320" s="65"/>
      <c r="E320" s="65"/>
      <c r="F320" s="65"/>
      <c r="G320" s="65"/>
      <c r="H320" s="65"/>
      <c r="I320" s="69"/>
      <c r="J320" s="70"/>
      <c r="K320" s="70"/>
      <c r="L320" s="69"/>
      <c r="M320" s="70"/>
      <c r="N320" s="70"/>
      <c r="O320" s="70"/>
      <c r="P320" s="70"/>
      <c r="Q320" s="70"/>
      <c r="R320" s="70"/>
      <c r="S320" s="70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65"/>
      <c r="AO320" s="56"/>
      <c r="AP320" s="56"/>
      <c r="AQ320" s="56"/>
      <c r="AR320" s="56"/>
    </row>
    <row r="321">
      <c r="A321" s="65"/>
      <c r="B321" s="65"/>
      <c r="C321" s="65"/>
      <c r="D321" s="65"/>
      <c r="E321" s="65"/>
      <c r="F321" s="65"/>
      <c r="G321" s="65"/>
      <c r="H321" s="65"/>
      <c r="I321" s="69"/>
      <c r="J321" s="70"/>
      <c r="K321" s="70"/>
      <c r="L321" s="69"/>
      <c r="M321" s="70"/>
      <c r="N321" s="70"/>
      <c r="O321" s="70"/>
      <c r="P321" s="70"/>
      <c r="Q321" s="70"/>
      <c r="R321" s="70"/>
      <c r="S321" s="70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65"/>
      <c r="AO321" s="56"/>
      <c r="AP321" s="56"/>
      <c r="AQ321" s="56"/>
      <c r="AR321" s="56"/>
    </row>
    <row r="322">
      <c r="A322" s="65"/>
      <c r="B322" s="65"/>
      <c r="C322" s="65"/>
      <c r="D322" s="65"/>
      <c r="E322" s="65"/>
      <c r="F322" s="65"/>
      <c r="G322" s="65"/>
      <c r="H322" s="65"/>
      <c r="I322" s="69"/>
      <c r="J322" s="70"/>
      <c r="K322" s="70"/>
      <c r="L322" s="69"/>
      <c r="M322" s="70"/>
      <c r="N322" s="70"/>
      <c r="O322" s="70"/>
      <c r="P322" s="70"/>
      <c r="Q322" s="70"/>
      <c r="R322" s="70"/>
      <c r="S322" s="70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65"/>
      <c r="AO322" s="56"/>
      <c r="AP322" s="56"/>
      <c r="AQ322" s="56"/>
      <c r="AR322" s="56"/>
    </row>
    <row r="323">
      <c r="A323" s="65"/>
      <c r="B323" s="65"/>
      <c r="C323" s="65"/>
      <c r="D323" s="65"/>
      <c r="E323" s="65"/>
      <c r="F323" s="65"/>
      <c r="G323" s="65"/>
      <c r="H323" s="65"/>
      <c r="I323" s="69"/>
      <c r="J323" s="70"/>
      <c r="K323" s="70"/>
      <c r="L323" s="69"/>
      <c r="M323" s="70"/>
      <c r="N323" s="70"/>
      <c r="O323" s="70"/>
      <c r="P323" s="70"/>
      <c r="Q323" s="70"/>
      <c r="R323" s="70"/>
      <c r="S323" s="70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65"/>
      <c r="AO323" s="56"/>
      <c r="AP323" s="56"/>
      <c r="AQ323" s="56"/>
      <c r="AR323" s="56"/>
    </row>
    <row r="324">
      <c r="A324" s="65"/>
      <c r="B324" s="65"/>
      <c r="C324" s="65"/>
      <c r="D324" s="65"/>
      <c r="E324" s="65"/>
      <c r="F324" s="65"/>
      <c r="G324" s="65"/>
      <c r="H324" s="65"/>
      <c r="I324" s="69"/>
      <c r="J324" s="70"/>
      <c r="K324" s="70"/>
      <c r="L324" s="69"/>
      <c r="M324" s="70"/>
      <c r="N324" s="70"/>
      <c r="O324" s="70"/>
      <c r="P324" s="70"/>
      <c r="Q324" s="70"/>
      <c r="R324" s="70"/>
      <c r="S324" s="70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65"/>
      <c r="AO324" s="56"/>
      <c r="AP324" s="56"/>
      <c r="AQ324" s="56"/>
      <c r="AR324" s="56"/>
    </row>
    <row r="325">
      <c r="A325" s="65"/>
      <c r="B325" s="65"/>
      <c r="C325" s="65"/>
      <c r="D325" s="65"/>
      <c r="E325" s="65"/>
      <c r="F325" s="65"/>
      <c r="G325" s="65"/>
      <c r="H325" s="65"/>
      <c r="I325" s="69"/>
      <c r="J325" s="70"/>
      <c r="K325" s="70"/>
      <c r="L325" s="69"/>
      <c r="M325" s="70"/>
      <c r="N325" s="70"/>
      <c r="O325" s="70"/>
      <c r="P325" s="70"/>
      <c r="Q325" s="70"/>
      <c r="R325" s="70"/>
      <c r="S325" s="70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65"/>
      <c r="AO325" s="56"/>
      <c r="AP325" s="56"/>
      <c r="AQ325" s="56"/>
      <c r="AR325" s="56"/>
    </row>
    <row r="326">
      <c r="A326" s="65"/>
      <c r="B326" s="65"/>
      <c r="C326" s="65"/>
      <c r="D326" s="65"/>
      <c r="E326" s="65"/>
      <c r="F326" s="65"/>
      <c r="G326" s="65"/>
      <c r="H326" s="65"/>
      <c r="I326" s="69"/>
      <c r="J326" s="70"/>
      <c r="K326" s="70"/>
      <c r="L326" s="69"/>
      <c r="M326" s="70"/>
      <c r="N326" s="70"/>
      <c r="O326" s="70"/>
      <c r="P326" s="70"/>
      <c r="Q326" s="70"/>
      <c r="R326" s="70"/>
      <c r="S326" s="70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65"/>
      <c r="AO326" s="56"/>
      <c r="AP326" s="56"/>
      <c r="AQ326" s="56"/>
      <c r="AR326" s="56"/>
    </row>
    <row r="327">
      <c r="A327" s="65"/>
      <c r="B327" s="65"/>
      <c r="C327" s="65"/>
      <c r="D327" s="65"/>
      <c r="E327" s="65"/>
      <c r="F327" s="65"/>
      <c r="G327" s="65"/>
      <c r="H327" s="65"/>
      <c r="I327" s="69"/>
      <c r="J327" s="70"/>
      <c r="K327" s="70"/>
      <c r="L327" s="69"/>
      <c r="M327" s="70"/>
      <c r="N327" s="70"/>
      <c r="O327" s="70"/>
      <c r="P327" s="70"/>
      <c r="Q327" s="70"/>
      <c r="R327" s="70"/>
      <c r="S327" s="70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65"/>
      <c r="AO327" s="56"/>
      <c r="AP327" s="56"/>
      <c r="AQ327" s="56"/>
      <c r="AR327" s="56"/>
    </row>
    <row r="328">
      <c r="A328" s="65"/>
      <c r="B328" s="65"/>
      <c r="C328" s="65"/>
      <c r="D328" s="65"/>
      <c r="E328" s="65"/>
      <c r="F328" s="65"/>
      <c r="G328" s="65"/>
      <c r="H328" s="65"/>
      <c r="I328" s="69"/>
      <c r="J328" s="70"/>
      <c r="K328" s="70"/>
      <c r="L328" s="69"/>
      <c r="M328" s="70"/>
      <c r="N328" s="70"/>
      <c r="O328" s="70"/>
      <c r="P328" s="70"/>
      <c r="Q328" s="70"/>
      <c r="R328" s="70"/>
      <c r="S328" s="70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65"/>
      <c r="AO328" s="56"/>
      <c r="AP328" s="56"/>
      <c r="AQ328" s="56"/>
      <c r="AR328" s="56"/>
    </row>
    <row r="329">
      <c r="A329" s="65"/>
      <c r="B329" s="65"/>
      <c r="C329" s="65"/>
      <c r="D329" s="65"/>
      <c r="E329" s="65"/>
      <c r="F329" s="65"/>
      <c r="G329" s="65"/>
      <c r="H329" s="65"/>
      <c r="I329" s="69"/>
      <c r="J329" s="70"/>
      <c r="K329" s="70"/>
      <c r="L329" s="69"/>
      <c r="M329" s="70"/>
      <c r="N329" s="70"/>
      <c r="O329" s="70"/>
      <c r="P329" s="70"/>
      <c r="Q329" s="70"/>
      <c r="R329" s="70"/>
      <c r="S329" s="70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65"/>
      <c r="AO329" s="56"/>
      <c r="AP329" s="56"/>
      <c r="AQ329" s="56"/>
      <c r="AR329" s="56"/>
    </row>
    <row r="330">
      <c r="A330" s="65"/>
      <c r="B330" s="65"/>
      <c r="C330" s="65"/>
      <c r="D330" s="65"/>
      <c r="E330" s="65"/>
      <c r="F330" s="65"/>
      <c r="G330" s="65"/>
      <c r="H330" s="65"/>
      <c r="I330" s="69"/>
      <c r="J330" s="70"/>
      <c r="K330" s="70"/>
      <c r="L330" s="69"/>
      <c r="M330" s="70"/>
      <c r="N330" s="70"/>
      <c r="O330" s="70"/>
      <c r="P330" s="70"/>
      <c r="Q330" s="70"/>
      <c r="R330" s="70"/>
      <c r="S330" s="70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65"/>
      <c r="AO330" s="56"/>
      <c r="AP330" s="56"/>
      <c r="AQ330" s="56"/>
      <c r="AR330" s="56"/>
    </row>
    <row r="331">
      <c r="A331" s="65"/>
      <c r="B331" s="65"/>
      <c r="C331" s="65"/>
      <c r="D331" s="65"/>
      <c r="E331" s="65"/>
      <c r="F331" s="65"/>
      <c r="G331" s="65"/>
      <c r="H331" s="65"/>
      <c r="I331" s="69"/>
      <c r="J331" s="70"/>
      <c r="K331" s="70"/>
      <c r="L331" s="69"/>
      <c r="M331" s="70"/>
      <c r="N331" s="70"/>
      <c r="O331" s="70"/>
      <c r="P331" s="70"/>
      <c r="Q331" s="70"/>
      <c r="R331" s="70"/>
      <c r="S331" s="70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65"/>
      <c r="AO331" s="56"/>
      <c r="AP331" s="56"/>
      <c r="AQ331" s="56"/>
      <c r="AR331" s="56"/>
    </row>
    <row r="332">
      <c r="A332" s="65"/>
      <c r="B332" s="65"/>
      <c r="C332" s="65"/>
      <c r="D332" s="65"/>
      <c r="E332" s="65"/>
      <c r="F332" s="65"/>
      <c r="G332" s="65"/>
      <c r="H332" s="65"/>
      <c r="I332" s="69"/>
      <c r="J332" s="70"/>
      <c r="K332" s="70"/>
      <c r="L332" s="69"/>
      <c r="M332" s="70"/>
      <c r="N332" s="70"/>
      <c r="O332" s="70"/>
      <c r="P332" s="70"/>
      <c r="Q332" s="70"/>
      <c r="R332" s="70"/>
      <c r="S332" s="70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65"/>
      <c r="AO332" s="56"/>
      <c r="AP332" s="56"/>
      <c r="AQ332" s="56"/>
      <c r="AR332" s="56"/>
    </row>
    <row r="333">
      <c r="A333" s="65"/>
      <c r="B333" s="65"/>
      <c r="C333" s="65"/>
      <c r="D333" s="65"/>
      <c r="E333" s="65"/>
      <c r="F333" s="65"/>
      <c r="G333" s="65"/>
      <c r="H333" s="65"/>
      <c r="I333" s="69"/>
      <c r="J333" s="70"/>
      <c r="K333" s="70"/>
      <c r="L333" s="69"/>
      <c r="M333" s="70"/>
      <c r="N333" s="70"/>
      <c r="O333" s="70"/>
      <c r="P333" s="70"/>
      <c r="Q333" s="70"/>
      <c r="R333" s="70"/>
      <c r="S333" s="70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65"/>
      <c r="AO333" s="56"/>
      <c r="AP333" s="56"/>
      <c r="AQ333" s="56"/>
      <c r="AR333" s="56"/>
    </row>
    <row r="334">
      <c r="A334" s="65"/>
      <c r="B334" s="65"/>
      <c r="C334" s="65"/>
      <c r="D334" s="65"/>
      <c r="E334" s="65"/>
      <c r="F334" s="65"/>
      <c r="G334" s="65"/>
      <c r="H334" s="65"/>
      <c r="I334" s="69"/>
      <c r="J334" s="70"/>
      <c r="K334" s="70"/>
      <c r="L334" s="69"/>
      <c r="M334" s="70"/>
      <c r="N334" s="70"/>
      <c r="O334" s="70"/>
      <c r="P334" s="70"/>
      <c r="Q334" s="70"/>
      <c r="R334" s="70"/>
      <c r="S334" s="70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65"/>
      <c r="AO334" s="56"/>
      <c r="AP334" s="56"/>
      <c r="AQ334" s="56"/>
      <c r="AR334" s="56"/>
    </row>
    <row r="335">
      <c r="A335" s="65"/>
      <c r="B335" s="65"/>
      <c r="C335" s="65"/>
      <c r="D335" s="65"/>
      <c r="E335" s="65"/>
      <c r="F335" s="65"/>
      <c r="G335" s="65"/>
      <c r="H335" s="65"/>
      <c r="I335" s="69"/>
      <c r="J335" s="70"/>
      <c r="K335" s="70"/>
      <c r="L335" s="69"/>
      <c r="M335" s="70"/>
      <c r="N335" s="70"/>
      <c r="O335" s="70"/>
      <c r="P335" s="70"/>
      <c r="Q335" s="70"/>
      <c r="R335" s="70"/>
      <c r="S335" s="70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65"/>
      <c r="AO335" s="56"/>
      <c r="AP335" s="56"/>
      <c r="AQ335" s="56"/>
      <c r="AR335" s="56"/>
    </row>
    <row r="336">
      <c r="A336" s="65"/>
      <c r="B336" s="65"/>
      <c r="C336" s="65"/>
      <c r="D336" s="65"/>
      <c r="E336" s="65"/>
      <c r="F336" s="65"/>
      <c r="G336" s="65"/>
      <c r="H336" s="65"/>
      <c r="I336" s="69"/>
      <c r="J336" s="70"/>
      <c r="K336" s="70"/>
      <c r="L336" s="69"/>
      <c r="M336" s="70"/>
      <c r="N336" s="70"/>
      <c r="O336" s="70"/>
      <c r="P336" s="70"/>
      <c r="Q336" s="70"/>
      <c r="R336" s="70"/>
      <c r="S336" s="70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65"/>
      <c r="AO336" s="56"/>
      <c r="AP336" s="56"/>
      <c r="AQ336" s="56"/>
      <c r="AR336" s="56"/>
    </row>
    <row r="337">
      <c r="A337" s="65"/>
      <c r="B337" s="65"/>
      <c r="C337" s="65"/>
      <c r="D337" s="65"/>
      <c r="E337" s="65"/>
      <c r="F337" s="65"/>
      <c r="G337" s="65"/>
      <c r="H337" s="65"/>
      <c r="I337" s="69"/>
      <c r="J337" s="70"/>
      <c r="K337" s="70"/>
      <c r="L337" s="69"/>
      <c r="M337" s="70"/>
      <c r="N337" s="70"/>
      <c r="O337" s="70"/>
      <c r="P337" s="70"/>
      <c r="Q337" s="70"/>
      <c r="R337" s="70"/>
      <c r="S337" s="70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65"/>
      <c r="AO337" s="56"/>
      <c r="AP337" s="56"/>
      <c r="AQ337" s="56"/>
      <c r="AR337" s="56"/>
    </row>
    <row r="338">
      <c r="A338" s="65"/>
      <c r="B338" s="65"/>
      <c r="C338" s="65"/>
      <c r="D338" s="65"/>
      <c r="E338" s="65"/>
      <c r="F338" s="65"/>
      <c r="G338" s="65"/>
      <c r="H338" s="65"/>
      <c r="I338" s="69"/>
      <c r="J338" s="70"/>
      <c r="K338" s="70"/>
      <c r="L338" s="69"/>
      <c r="M338" s="70"/>
      <c r="N338" s="70"/>
      <c r="O338" s="70"/>
      <c r="P338" s="70"/>
      <c r="Q338" s="70"/>
      <c r="R338" s="70"/>
      <c r="S338" s="70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65"/>
      <c r="AO338" s="56"/>
      <c r="AP338" s="56"/>
      <c r="AQ338" s="56"/>
      <c r="AR338" s="56"/>
    </row>
    <row r="339">
      <c r="A339" s="65"/>
      <c r="B339" s="65"/>
      <c r="C339" s="65"/>
      <c r="D339" s="65"/>
      <c r="E339" s="65"/>
      <c r="F339" s="65"/>
      <c r="G339" s="65"/>
      <c r="H339" s="65"/>
      <c r="I339" s="69"/>
      <c r="J339" s="70"/>
      <c r="K339" s="70"/>
      <c r="L339" s="69"/>
      <c r="M339" s="70"/>
      <c r="N339" s="70"/>
      <c r="O339" s="70"/>
      <c r="P339" s="70"/>
      <c r="Q339" s="70"/>
      <c r="R339" s="70"/>
      <c r="S339" s="70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65"/>
      <c r="AO339" s="56"/>
      <c r="AP339" s="56"/>
      <c r="AQ339" s="56"/>
      <c r="AR339" s="56"/>
    </row>
    <row r="340">
      <c r="A340" s="65"/>
      <c r="B340" s="65"/>
      <c r="C340" s="65"/>
      <c r="D340" s="65"/>
      <c r="E340" s="65"/>
      <c r="F340" s="65"/>
      <c r="G340" s="65"/>
      <c r="H340" s="65"/>
      <c r="I340" s="69"/>
      <c r="J340" s="70"/>
      <c r="K340" s="70"/>
      <c r="L340" s="69"/>
      <c r="M340" s="70"/>
      <c r="N340" s="70"/>
      <c r="O340" s="70"/>
      <c r="P340" s="70"/>
      <c r="Q340" s="70"/>
      <c r="R340" s="70"/>
      <c r="S340" s="70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65"/>
      <c r="AO340" s="56"/>
      <c r="AP340" s="56"/>
      <c r="AQ340" s="56"/>
      <c r="AR340" s="56"/>
    </row>
    <row r="341">
      <c r="A341" s="65"/>
      <c r="B341" s="65"/>
      <c r="C341" s="65"/>
      <c r="D341" s="65"/>
      <c r="E341" s="65"/>
      <c r="F341" s="65"/>
      <c r="G341" s="65"/>
      <c r="H341" s="65"/>
      <c r="I341" s="69"/>
      <c r="J341" s="70"/>
      <c r="K341" s="70"/>
      <c r="L341" s="69"/>
      <c r="M341" s="70"/>
      <c r="N341" s="70"/>
      <c r="O341" s="70"/>
      <c r="P341" s="70"/>
      <c r="Q341" s="70"/>
      <c r="R341" s="70"/>
      <c r="S341" s="70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65"/>
      <c r="AO341" s="56"/>
      <c r="AP341" s="56"/>
      <c r="AQ341" s="56"/>
      <c r="AR341" s="56"/>
    </row>
    <row r="342">
      <c r="A342" s="65"/>
      <c r="B342" s="65"/>
      <c r="C342" s="65"/>
      <c r="D342" s="65"/>
      <c r="E342" s="65"/>
      <c r="F342" s="65"/>
      <c r="G342" s="65"/>
      <c r="H342" s="65"/>
      <c r="I342" s="69"/>
      <c r="J342" s="70"/>
      <c r="K342" s="70"/>
      <c r="L342" s="69"/>
      <c r="M342" s="70"/>
      <c r="N342" s="70"/>
      <c r="O342" s="70"/>
      <c r="P342" s="70"/>
      <c r="Q342" s="70"/>
      <c r="R342" s="70"/>
      <c r="S342" s="70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65"/>
      <c r="AO342" s="56"/>
      <c r="AP342" s="56"/>
      <c r="AQ342" s="56"/>
      <c r="AR342" s="56"/>
    </row>
    <row r="343">
      <c r="A343" s="65"/>
      <c r="B343" s="65"/>
      <c r="C343" s="65"/>
      <c r="D343" s="65"/>
      <c r="E343" s="65"/>
      <c r="F343" s="65"/>
      <c r="G343" s="65"/>
      <c r="H343" s="65"/>
      <c r="I343" s="69"/>
      <c r="J343" s="70"/>
      <c r="K343" s="70"/>
      <c r="L343" s="69"/>
      <c r="M343" s="70"/>
      <c r="N343" s="70"/>
      <c r="O343" s="70"/>
      <c r="P343" s="70"/>
      <c r="Q343" s="70"/>
      <c r="R343" s="70"/>
      <c r="S343" s="70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65"/>
      <c r="AO343" s="56"/>
      <c r="AP343" s="56"/>
      <c r="AQ343" s="56"/>
      <c r="AR343" s="56"/>
    </row>
    <row r="344">
      <c r="A344" s="65"/>
      <c r="B344" s="65"/>
      <c r="C344" s="65"/>
      <c r="D344" s="65"/>
      <c r="E344" s="65"/>
      <c r="F344" s="65"/>
      <c r="G344" s="65"/>
      <c r="H344" s="65"/>
      <c r="I344" s="69"/>
      <c r="J344" s="70"/>
      <c r="K344" s="70"/>
      <c r="L344" s="69"/>
      <c r="M344" s="70"/>
      <c r="N344" s="70"/>
      <c r="O344" s="70"/>
      <c r="P344" s="70"/>
      <c r="Q344" s="70"/>
      <c r="R344" s="70"/>
      <c r="S344" s="70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65"/>
      <c r="AO344" s="56"/>
      <c r="AP344" s="56"/>
      <c r="AQ344" s="56"/>
      <c r="AR344" s="56"/>
    </row>
    <row r="345">
      <c r="A345" s="65"/>
      <c r="B345" s="65"/>
      <c r="C345" s="65"/>
      <c r="D345" s="65"/>
      <c r="E345" s="65"/>
      <c r="F345" s="65"/>
      <c r="G345" s="65"/>
      <c r="H345" s="65"/>
      <c r="I345" s="69"/>
      <c r="J345" s="70"/>
      <c r="K345" s="70"/>
      <c r="L345" s="69"/>
      <c r="M345" s="70"/>
      <c r="N345" s="70"/>
      <c r="O345" s="70"/>
      <c r="P345" s="70"/>
      <c r="Q345" s="70"/>
      <c r="R345" s="70"/>
      <c r="S345" s="70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65"/>
      <c r="AO345" s="56"/>
      <c r="AP345" s="56"/>
      <c r="AQ345" s="56"/>
      <c r="AR345" s="56"/>
    </row>
    <row r="346">
      <c r="A346" s="65"/>
      <c r="B346" s="65"/>
      <c r="C346" s="65"/>
      <c r="D346" s="65"/>
      <c r="E346" s="65"/>
      <c r="F346" s="65"/>
      <c r="G346" s="65"/>
      <c r="H346" s="65"/>
      <c r="I346" s="69"/>
      <c r="J346" s="70"/>
      <c r="K346" s="70"/>
      <c r="L346" s="69"/>
      <c r="M346" s="70"/>
      <c r="N346" s="70"/>
      <c r="O346" s="70"/>
      <c r="P346" s="70"/>
      <c r="Q346" s="70"/>
      <c r="R346" s="70"/>
      <c r="S346" s="70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65"/>
      <c r="AO346" s="56"/>
      <c r="AP346" s="56"/>
      <c r="AQ346" s="56"/>
      <c r="AR346" s="56"/>
    </row>
    <row r="347">
      <c r="A347" s="65"/>
      <c r="B347" s="65"/>
      <c r="C347" s="65"/>
      <c r="D347" s="65"/>
      <c r="E347" s="65"/>
      <c r="F347" s="65"/>
      <c r="G347" s="65"/>
      <c r="H347" s="65"/>
      <c r="I347" s="69"/>
      <c r="J347" s="70"/>
      <c r="K347" s="70"/>
      <c r="L347" s="69"/>
      <c r="M347" s="70"/>
      <c r="N347" s="70"/>
      <c r="O347" s="70"/>
      <c r="P347" s="70"/>
      <c r="Q347" s="70"/>
      <c r="R347" s="70"/>
      <c r="S347" s="70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65"/>
      <c r="AO347" s="56"/>
      <c r="AP347" s="56"/>
      <c r="AQ347" s="56"/>
      <c r="AR347" s="56"/>
    </row>
    <row r="348">
      <c r="A348" s="65"/>
      <c r="B348" s="65"/>
      <c r="C348" s="65"/>
      <c r="D348" s="65"/>
      <c r="E348" s="65"/>
      <c r="F348" s="65"/>
      <c r="G348" s="65"/>
      <c r="H348" s="65"/>
      <c r="I348" s="69"/>
      <c r="J348" s="70"/>
      <c r="K348" s="70"/>
      <c r="L348" s="69"/>
      <c r="M348" s="70"/>
      <c r="N348" s="70"/>
      <c r="O348" s="70"/>
      <c r="P348" s="70"/>
      <c r="Q348" s="70"/>
      <c r="R348" s="70"/>
      <c r="S348" s="70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65"/>
      <c r="AO348" s="56"/>
      <c r="AP348" s="56"/>
      <c r="AQ348" s="56"/>
      <c r="AR348" s="56"/>
    </row>
    <row r="349">
      <c r="A349" s="65"/>
      <c r="B349" s="65"/>
      <c r="C349" s="65"/>
      <c r="D349" s="65"/>
      <c r="E349" s="65"/>
      <c r="F349" s="65"/>
      <c r="G349" s="65"/>
      <c r="H349" s="65"/>
      <c r="I349" s="69"/>
      <c r="J349" s="70"/>
      <c r="K349" s="70"/>
      <c r="L349" s="69"/>
      <c r="M349" s="70"/>
      <c r="N349" s="70"/>
      <c r="O349" s="70"/>
      <c r="P349" s="70"/>
      <c r="Q349" s="70"/>
      <c r="R349" s="70"/>
      <c r="S349" s="70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65"/>
      <c r="AO349" s="56"/>
      <c r="AP349" s="56"/>
      <c r="AQ349" s="56"/>
      <c r="AR349" s="56"/>
    </row>
    <row r="350">
      <c r="A350" s="65"/>
      <c r="B350" s="65"/>
      <c r="C350" s="65"/>
      <c r="D350" s="65"/>
      <c r="E350" s="65"/>
      <c r="F350" s="65"/>
      <c r="G350" s="65"/>
      <c r="H350" s="65"/>
      <c r="I350" s="69"/>
      <c r="J350" s="70"/>
      <c r="K350" s="70"/>
      <c r="L350" s="69"/>
      <c r="M350" s="70"/>
      <c r="N350" s="70"/>
      <c r="O350" s="70"/>
      <c r="P350" s="70"/>
      <c r="Q350" s="70"/>
      <c r="R350" s="70"/>
      <c r="S350" s="70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65"/>
      <c r="AO350" s="56"/>
      <c r="AP350" s="56"/>
      <c r="AQ350" s="56"/>
      <c r="AR350" s="56"/>
    </row>
    <row r="351">
      <c r="A351" s="65"/>
      <c r="B351" s="65"/>
      <c r="C351" s="65"/>
      <c r="D351" s="65"/>
      <c r="E351" s="65"/>
      <c r="F351" s="65"/>
      <c r="G351" s="65"/>
      <c r="H351" s="65"/>
      <c r="I351" s="69"/>
      <c r="J351" s="70"/>
      <c r="K351" s="70"/>
      <c r="L351" s="69"/>
      <c r="M351" s="70"/>
      <c r="N351" s="70"/>
      <c r="O351" s="70"/>
      <c r="P351" s="70"/>
      <c r="Q351" s="70"/>
      <c r="R351" s="70"/>
      <c r="S351" s="70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65"/>
      <c r="AO351" s="56"/>
      <c r="AP351" s="56"/>
      <c r="AQ351" s="56"/>
      <c r="AR351" s="56"/>
    </row>
    <row r="352">
      <c r="A352" s="65"/>
      <c r="B352" s="65"/>
      <c r="C352" s="65"/>
      <c r="D352" s="65"/>
      <c r="E352" s="65"/>
      <c r="F352" s="65"/>
      <c r="G352" s="65"/>
      <c r="H352" s="65"/>
      <c r="I352" s="69"/>
      <c r="J352" s="70"/>
      <c r="K352" s="70"/>
      <c r="L352" s="69"/>
      <c r="M352" s="70"/>
      <c r="N352" s="70"/>
      <c r="O352" s="70"/>
      <c r="P352" s="70"/>
      <c r="Q352" s="70"/>
      <c r="R352" s="70"/>
      <c r="S352" s="70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65"/>
      <c r="AO352" s="56"/>
      <c r="AP352" s="56"/>
      <c r="AQ352" s="56"/>
      <c r="AR352" s="56"/>
    </row>
    <row r="353">
      <c r="A353" s="65"/>
      <c r="B353" s="65"/>
      <c r="C353" s="65"/>
      <c r="D353" s="65"/>
      <c r="E353" s="65"/>
      <c r="F353" s="65"/>
      <c r="G353" s="65"/>
      <c r="H353" s="65"/>
      <c r="I353" s="69"/>
      <c r="J353" s="70"/>
      <c r="K353" s="70"/>
      <c r="L353" s="69"/>
      <c r="M353" s="70"/>
      <c r="N353" s="70"/>
      <c r="O353" s="70"/>
      <c r="P353" s="70"/>
      <c r="Q353" s="70"/>
      <c r="R353" s="70"/>
      <c r="S353" s="70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65"/>
      <c r="AO353" s="56"/>
      <c r="AP353" s="56"/>
      <c r="AQ353" s="56"/>
      <c r="AR353" s="56"/>
    </row>
    <row r="354">
      <c r="A354" s="65"/>
      <c r="B354" s="65"/>
      <c r="C354" s="65"/>
      <c r="D354" s="65"/>
      <c r="E354" s="65"/>
      <c r="F354" s="65"/>
      <c r="G354" s="65"/>
      <c r="H354" s="65"/>
      <c r="I354" s="69"/>
      <c r="J354" s="70"/>
      <c r="K354" s="70"/>
      <c r="L354" s="69"/>
      <c r="M354" s="70"/>
      <c r="N354" s="70"/>
      <c r="O354" s="70"/>
      <c r="P354" s="70"/>
      <c r="Q354" s="70"/>
      <c r="R354" s="70"/>
      <c r="S354" s="70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65"/>
      <c r="AO354" s="56"/>
      <c r="AP354" s="56"/>
      <c r="AQ354" s="56"/>
      <c r="AR354" s="56"/>
    </row>
    <row r="355">
      <c r="A355" s="65"/>
      <c r="B355" s="65"/>
      <c r="C355" s="65"/>
      <c r="D355" s="65"/>
      <c r="E355" s="65"/>
      <c r="F355" s="65"/>
      <c r="G355" s="65"/>
      <c r="H355" s="65"/>
      <c r="I355" s="69"/>
      <c r="J355" s="70"/>
      <c r="K355" s="70"/>
      <c r="L355" s="69"/>
      <c r="M355" s="70"/>
      <c r="N355" s="70"/>
      <c r="O355" s="70"/>
      <c r="P355" s="70"/>
      <c r="Q355" s="70"/>
      <c r="R355" s="70"/>
      <c r="S355" s="70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65"/>
      <c r="AO355" s="56"/>
      <c r="AP355" s="56"/>
      <c r="AQ355" s="56"/>
      <c r="AR355" s="56"/>
    </row>
    <row r="356">
      <c r="A356" s="65"/>
      <c r="B356" s="65"/>
      <c r="C356" s="65"/>
      <c r="D356" s="65"/>
      <c r="E356" s="65"/>
      <c r="F356" s="65"/>
      <c r="G356" s="65"/>
      <c r="H356" s="65"/>
      <c r="I356" s="69"/>
      <c r="J356" s="70"/>
      <c r="K356" s="70"/>
      <c r="L356" s="69"/>
      <c r="M356" s="70"/>
      <c r="N356" s="70"/>
      <c r="O356" s="70"/>
      <c r="P356" s="70"/>
      <c r="Q356" s="70"/>
      <c r="R356" s="70"/>
      <c r="S356" s="70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65"/>
      <c r="AO356" s="56"/>
      <c r="AP356" s="56"/>
      <c r="AQ356" s="56"/>
      <c r="AR356" s="56"/>
    </row>
    <row r="357">
      <c r="A357" s="65"/>
      <c r="B357" s="65"/>
      <c r="C357" s="65"/>
      <c r="D357" s="65"/>
      <c r="E357" s="65"/>
      <c r="F357" s="65"/>
      <c r="G357" s="65"/>
      <c r="H357" s="65"/>
      <c r="I357" s="69"/>
      <c r="J357" s="70"/>
      <c r="K357" s="70"/>
      <c r="L357" s="69"/>
      <c r="M357" s="70"/>
      <c r="N357" s="70"/>
      <c r="O357" s="70"/>
      <c r="P357" s="70"/>
      <c r="Q357" s="70"/>
      <c r="R357" s="70"/>
      <c r="S357" s="70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65"/>
      <c r="AO357" s="56"/>
      <c r="AP357" s="56"/>
      <c r="AQ357" s="56"/>
      <c r="AR357" s="56"/>
    </row>
    <row r="358">
      <c r="A358" s="65"/>
      <c r="B358" s="65"/>
      <c r="C358" s="65"/>
      <c r="D358" s="65"/>
      <c r="E358" s="65"/>
      <c r="F358" s="65"/>
      <c r="G358" s="65"/>
      <c r="H358" s="65"/>
      <c r="I358" s="69"/>
      <c r="J358" s="70"/>
      <c r="K358" s="70"/>
      <c r="L358" s="69"/>
      <c r="M358" s="70"/>
      <c r="N358" s="70"/>
      <c r="O358" s="70"/>
      <c r="P358" s="70"/>
      <c r="Q358" s="70"/>
      <c r="R358" s="70"/>
      <c r="S358" s="70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65"/>
      <c r="AO358" s="56"/>
      <c r="AP358" s="56"/>
      <c r="AQ358" s="56"/>
      <c r="AR358" s="56"/>
    </row>
    <row r="359">
      <c r="A359" s="65"/>
      <c r="B359" s="65"/>
      <c r="C359" s="65"/>
      <c r="D359" s="65"/>
      <c r="E359" s="65"/>
      <c r="F359" s="65"/>
      <c r="G359" s="65"/>
      <c r="H359" s="65"/>
      <c r="I359" s="69"/>
      <c r="J359" s="70"/>
      <c r="K359" s="70"/>
      <c r="L359" s="69"/>
      <c r="M359" s="70"/>
      <c r="N359" s="70"/>
      <c r="O359" s="70"/>
      <c r="P359" s="70"/>
      <c r="Q359" s="70"/>
      <c r="R359" s="70"/>
      <c r="S359" s="70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65"/>
      <c r="AO359" s="56"/>
      <c r="AP359" s="56"/>
      <c r="AQ359" s="56"/>
      <c r="AR359" s="56"/>
    </row>
    <row r="360">
      <c r="A360" s="65"/>
      <c r="B360" s="65"/>
      <c r="C360" s="65"/>
      <c r="D360" s="65"/>
      <c r="E360" s="65"/>
      <c r="F360" s="65"/>
      <c r="G360" s="65"/>
      <c r="H360" s="65"/>
      <c r="I360" s="69"/>
      <c r="J360" s="70"/>
      <c r="K360" s="70"/>
      <c r="L360" s="69"/>
      <c r="M360" s="70"/>
      <c r="N360" s="70"/>
      <c r="O360" s="70"/>
      <c r="P360" s="70"/>
      <c r="Q360" s="70"/>
      <c r="R360" s="70"/>
      <c r="S360" s="70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65"/>
      <c r="AO360" s="56"/>
      <c r="AP360" s="56"/>
      <c r="AQ360" s="56"/>
      <c r="AR360" s="56"/>
    </row>
    <row r="361">
      <c r="A361" s="65"/>
      <c r="B361" s="65"/>
      <c r="C361" s="65"/>
      <c r="D361" s="65"/>
      <c r="E361" s="65"/>
      <c r="F361" s="65"/>
      <c r="G361" s="65"/>
      <c r="H361" s="65"/>
      <c r="I361" s="69"/>
      <c r="J361" s="70"/>
      <c r="K361" s="70"/>
      <c r="L361" s="69"/>
      <c r="M361" s="70"/>
      <c r="N361" s="70"/>
      <c r="O361" s="70"/>
      <c r="P361" s="70"/>
      <c r="Q361" s="70"/>
      <c r="R361" s="70"/>
      <c r="S361" s="70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65"/>
      <c r="AO361" s="56"/>
      <c r="AP361" s="56"/>
      <c r="AQ361" s="56"/>
      <c r="AR361" s="56"/>
    </row>
    <row r="362">
      <c r="A362" s="65"/>
      <c r="B362" s="65"/>
      <c r="C362" s="65"/>
      <c r="D362" s="65"/>
      <c r="E362" s="65"/>
      <c r="F362" s="65"/>
      <c r="G362" s="65"/>
      <c r="H362" s="65"/>
      <c r="I362" s="69"/>
      <c r="J362" s="70"/>
      <c r="K362" s="70"/>
      <c r="L362" s="69"/>
      <c r="M362" s="70"/>
      <c r="N362" s="70"/>
      <c r="O362" s="70"/>
      <c r="P362" s="70"/>
      <c r="Q362" s="70"/>
      <c r="R362" s="70"/>
      <c r="S362" s="70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65"/>
      <c r="AO362" s="56"/>
      <c r="AP362" s="56"/>
      <c r="AQ362" s="56"/>
      <c r="AR362" s="56"/>
    </row>
    <row r="363">
      <c r="A363" s="65"/>
      <c r="B363" s="65"/>
      <c r="C363" s="65"/>
      <c r="D363" s="65"/>
      <c r="E363" s="65"/>
      <c r="F363" s="65"/>
      <c r="G363" s="65"/>
      <c r="H363" s="65"/>
      <c r="I363" s="69"/>
      <c r="J363" s="70"/>
      <c r="K363" s="70"/>
      <c r="L363" s="69"/>
      <c r="M363" s="70"/>
      <c r="N363" s="70"/>
      <c r="O363" s="70"/>
      <c r="P363" s="70"/>
      <c r="Q363" s="70"/>
      <c r="R363" s="70"/>
      <c r="S363" s="70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65"/>
      <c r="AO363" s="56"/>
      <c r="AP363" s="56"/>
      <c r="AQ363" s="56"/>
      <c r="AR363" s="56"/>
    </row>
    <row r="364">
      <c r="A364" s="65"/>
      <c r="B364" s="65"/>
      <c r="C364" s="65"/>
      <c r="D364" s="65"/>
      <c r="E364" s="65"/>
      <c r="F364" s="65"/>
      <c r="G364" s="65"/>
      <c r="H364" s="65"/>
      <c r="I364" s="69"/>
      <c r="J364" s="70"/>
      <c r="K364" s="70"/>
      <c r="L364" s="69"/>
      <c r="M364" s="70"/>
      <c r="N364" s="70"/>
      <c r="O364" s="70"/>
      <c r="P364" s="70"/>
      <c r="Q364" s="70"/>
      <c r="R364" s="70"/>
      <c r="S364" s="70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65"/>
      <c r="AO364" s="56"/>
      <c r="AP364" s="56"/>
      <c r="AQ364" s="56"/>
      <c r="AR364" s="56"/>
    </row>
    <row r="365">
      <c r="A365" s="65"/>
      <c r="B365" s="65"/>
      <c r="C365" s="65"/>
      <c r="D365" s="65"/>
      <c r="E365" s="65"/>
      <c r="F365" s="65"/>
      <c r="G365" s="65"/>
      <c r="H365" s="65"/>
      <c r="I365" s="69"/>
      <c r="J365" s="70"/>
      <c r="K365" s="70"/>
      <c r="L365" s="69"/>
      <c r="M365" s="70"/>
      <c r="N365" s="70"/>
      <c r="O365" s="70"/>
      <c r="P365" s="70"/>
      <c r="Q365" s="70"/>
      <c r="R365" s="70"/>
      <c r="S365" s="70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65"/>
      <c r="AO365" s="56"/>
      <c r="AP365" s="56"/>
      <c r="AQ365" s="56"/>
      <c r="AR365" s="56"/>
    </row>
    <row r="366">
      <c r="A366" s="65"/>
      <c r="B366" s="65"/>
      <c r="C366" s="65"/>
      <c r="D366" s="65"/>
      <c r="E366" s="65"/>
      <c r="F366" s="65"/>
      <c r="G366" s="65"/>
      <c r="H366" s="65"/>
      <c r="I366" s="69"/>
      <c r="J366" s="70"/>
      <c r="K366" s="70"/>
      <c r="L366" s="69"/>
      <c r="M366" s="70"/>
      <c r="N366" s="70"/>
      <c r="O366" s="70"/>
      <c r="P366" s="70"/>
      <c r="Q366" s="70"/>
      <c r="R366" s="70"/>
      <c r="S366" s="70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65"/>
      <c r="AO366" s="56"/>
      <c r="AP366" s="56"/>
      <c r="AQ366" s="56"/>
      <c r="AR366" s="56"/>
    </row>
    <row r="367">
      <c r="A367" s="65"/>
      <c r="B367" s="65"/>
      <c r="C367" s="65"/>
      <c r="D367" s="65"/>
      <c r="E367" s="65"/>
      <c r="F367" s="65"/>
      <c r="G367" s="65"/>
      <c r="H367" s="65"/>
      <c r="I367" s="69"/>
      <c r="J367" s="70"/>
      <c r="K367" s="70"/>
      <c r="L367" s="69"/>
      <c r="M367" s="70"/>
      <c r="N367" s="70"/>
      <c r="O367" s="70"/>
      <c r="P367" s="70"/>
      <c r="Q367" s="70"/>
      <c r="R367" s="70"/>
      <c r="S367" s="70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65"/>
      <c r="AO367" s="56"/>
      <c r="AP367" s="56"/>
      <c r="AQ367" s="56"/>
      <c r="AR367" s="56"/>
    </row>
    <row r="368">
      <c r="A368" s="65"/>
      <c r="B368" s="65"/>
      <c r="C368" s="65"/>
      <c r="D368" s="65"/>
      <c r="E368" s="65"/>
      <c r="F368" s="65"/>
      <c r="G368" s="65"/>
      <c r="H368" s="65"/>
      <c r="I368" s="69"/>
      <c r="J368" s="70"/>
      <c r="K368" s="70"/>
      <c r="L368" s="69"/>
      <c r="M368" s="70"/>
      <c r="N368" s="70"/>
      <c r="O368" s="70"/>
      <c r="P368" s="70"/>
      <c r="Q368" s="70"/>
      <c r="R368" s="70"/>
      <c r="S368" s="70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65"/>
      <c r="AO368" s="56"/>
      <c r="AP368" s="56"/>
      <c r="AQ368" s="56"/>
      <c r="AR368" s="56"/>
    </row>
    <row r="369">
      <c r="A369" s="65"/>
      <c r="B369" s="65"/>
      <c r="C369" s="65"/>
      <c r="D369" s="65"/>
      <c r="E369" s="65"/>
      <c r="F369" s="65"/>
      <c r="G369" s="65"/>
      <c r="H369" s="65"/>
      <c r="I369" s="69"/>
      <c r="J369" s="70"/>
      <c r="K369" s="70"/>
      <c r="L369" s="69"/>
      <c r="M369" s="70"/>
      <c r="N369" s="70"/>
      <c r="O369" s="70"/>
      <c r="P369" s="70"/>
      <c r="Q369" s="70"/>
      <c r="R369" s="70"/>
      <c r="S369" s="70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65"/>
      <c r="AO369" s="56"/>
      <c r="AP369" s="56"/>
      <c r="AQ369" s="56"/>
      <c r="AR369" s="56"/>
    </row>
    <row r="370">
      <c r="A370" s="65"/>
      <c r="B370" s="65"/>
      <c r="C370" s="65"/>
      <c r="D370" s="65"/>
      <c r="E370" s="65"/>
      <c r="F370" s="65"/>
      <c r="G370" s="65"/>
      <c r="H370" s="65"/>
      <c r="I370" s="69"/>
      <c r="J370" s="70"/>
      <c r="K370" s="70"/>
      <c r="L370" s="69"/>
      <c r="M370" s="70"/>
      <c r="N370" s="70"/>
      <c r="O370" s="70"/>
      <c r="P370" s="70"/>
      <c r="Q370" s="70"/>
      <c r="R370" s="70"/>
      <c r="S370" s="70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65"/>
      <c r="AO370" s="56"/>
      <c r="AP370" s="56"/>
      <c r="AQ370" s="56"/>
      <c r="AR370" s="56"/>
    </row>
    <row r="371">
      <c r="A371" s="65"/>
      <c r="B371" s="65"/>
      <c r="C371" s="65"/>
      <c r="D371" s="65"/>
      <c r="E371" s="65"/>
      <c r="F371" s="65"/>
      <c r="G371" s="65"/>
      <c r="H371" s="65"/>
      <c r="I371" s="69"/>
      <c r="J371" s="70"/>
      <c r="K371" s="70"/>
      <c r="L371" s="69"/>
      <c r="M371" s="70"/>
      <c r="N371" s="70"/>
      <c r="O371" s="70"/>
      <c r="P371" s="70"/>
      <c r="Q371" s="70"/>
      <c r="R371" s="70"/>
      <c r="S371" s="70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65"/>
      <c r="AO371" s="56"/>
      <c r="AP371" s="56"/>
      <c r="AQ371" s="56"/>
      <c r="AR371" s="56"/>
    </row>
    <row r="372">
      <c r="A372" s="65"/>
      <c r="B372" s="65"/>
      <c r="C372" s="65"/>
      <c r="D372" s="65"/>
      <c r="E372" s="65"/>
      <c r="F372" s="65"/>
      <c r="G372" s="65"/>
      <c r="H372" s="65"/>
      <c r="I372" s="69"/>
      <c r="J372" s="70"/>
      <c r="K372" s="70"/>
      <c r="L372" s="69"/>
      <c r="M372" s="70"/>
      <c r="N372" s="70"/>
      <c r="O372" s="70"/>
      <c r="P372" s="70"/>
      <c r="Q372" s="70"/>
      <c r="R372" s="70"/>
      <c r="S372" s="70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65"/>
      <c r="AO372" s="56"/>
      <c r="AP372" s="56"/>
      <c r="AQ372" s="56"/>
      <c r="AR372" s="56"/>
    </row>
    <row r="373">
      <c r="A373" s="65"/>
      <c r="B373" s="65"/>
      <c r="C373" s="65"/>
      <c r="D373" s="65"/>
      <c r="E373" s="65"/>
      <c r="F373" s="65"/>
      <c r="G373" s="65"/>
      <c r="H373" s="65"/>
      <c r="I373" s="69"/>
      <c r="J373" s="70"/>
      <c r="K373" s="70"/>
      <c r="L373" s="69"/>
      <c r="M373" s="70"/>
      <c r="N373" s="70"/>
      <c r="O373" s="70"/>
      <c r="P373" s="70"/>
      <c r="Q373" s="70"/>
      <c r="R373" s="70"/>
      <c r="S373" s="70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65"/>
      <c r="AO373" s="56"/>
      <c r="AP373" s="56"/>
      <c r="AQ373" s="56"/>
      <c r="AR373" s="56"/>
    </row>
    <row r="374">
      <c r="A374" s="65"/>
      <c r="B374" s="65"/>
      <c r="C374" s="65"/>
      <c r="D374" s="65"/>
      <c r="E374" s="65"/>
      <c r="F374" s="65"/>
      <c r="G374" s="65"/>
      <c r="H374" s="65"/>
      <c r="I374" s="69"/>
      <c r="J374" s="70"/>
      <c r="K374" s="70"/>
      <c r="L374" s="69"/>
      <c r="M374" s="70"/>
      <c r="N374" s="70"/>
      <c r="O374" s="70"/>
      <c r="P374" s="70"/>
      <c r="Q374" s="70"/>
      <c r="R374" s="70"/>
      <c r="S374" s="70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65"/>
      <c r="AO374" s="56"/>
      <c r="AP374" s="56"/>
      <c r="AQ374" s="56"/>
      <c r="AR374" s="56"/>
    </row>
    <row r="375">
      <c r="A375" s="65"/>
      <c r="B375" s="65"/>
      <c r="C375" s="65"/>
      <c r="D375" s="65"/>
      <c r="E375" s="65"/>
      <c r="F375" s="65"/>
      <c r="G375" s="65"/>
      <c r="H375" s="65"/>
      <c r="I375" s="69"/>
      <c r="J375" s="70"/>
      <c r="K375" s="70"/>
      <c r="L375" s="69"/>
      <c r="M375" s="70"/>
      <c r="N375" s="70"/>
      <c r="O375" s="70"/>
      <c r="P375" s="70"/>
      <c r="Q375" s="70"/>
      <c r="R375" s="70"/>
      <c r="S375" s="70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65"/>
      <c r="AO375" s="56"/>
      <c r="AP375" s="56"/>
      <c r="AQ375" s="56"/>
      <c r="AR375" s="56"/>
    </row>
    <row r="376">
      <c r="A376" s="65"/>
      <c r="B376" s="65"/>
      <c r="C376" s="65"/>
      <c r="D376" s="65"/>
      <c r="E376" s="65"/>
      <c r="F376" s="65"/>
      <c r="G376" s="65"/>
      <c r="H376" s="65"/>
      <c r="I376" s="69"/>
      <c r="J376" s="70"/>
      <c r="K376" s="70"/>
      <c r="L376" s="69"/>
      <c r="M376" s="70"/>
      <c r="N376" s="70"/>
      <c r="O376" s="70"/>
      <c r="P376" s="70"/>
      <c r="Q376" s="70"/>
      <c r="R376" s="70"/>
      <c r="S376" s="70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65"/>
      <c r="AO376" s="56"/>
      <c r="AP376" s="56"/>
      <c r="AQ376" s="56"/>
      <c r="AR376" s="56"/>
    </row>
    <row r="377">
      <c r="A377" s="65"/>
      <c r="B377" s="65"/>
      <c r="C377" s="65"/>
      <c r="D377" s="65"/>
      <c r="E377" s="65"/>
      <c r="F377" s="65"/>
      <c r="G377" s="65"/>
      <c r="H377" s="65"/>
      <c r="I377" s="69"/>
      <c r="J377" s="70"/>
      <c r="K377" s="70"/>
      <c r="L377" s="69"/>
      <c r="M377" s="70"/>
      <c r="N377" s="70"/>
      <c r="O377" s="70"/>
      <c r="P377" s="70"/>
      <c r="Q377" s="70"/>
      <c r="R377" s="70"/>
      <c r="S377" s="70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65"/>
      <c r="AO377" s="56"/>
      <c r="AP377" s="56"/>
      <c r="AQ377" s="56"/>
      <c r="AR377" s="56"/>
    </row>
    <row r="378">
      <c r="A378" s="65"/>
      <c r="B378" s="65"/>
      <c r="C378" s="65"/>
      <c r="D378" s="65"/>
      <c r="E378" s="65"/>
      <c r="F378" s="65"/>
      <c r="G378" s="65"/>
      <c r="H378" s="65"/>
      <c r="I378" s="69"/>
      <c r="J378" s="70"/>
      <c r="K378" s="70"/>
      <c r="L378" s="69"/>
      <c r="M378" s="70"/>
      <c r="N378" s="70"/>
      <c r="O378" s="70"/>
      <c r="P378" s="70"/>
      <c r="Q378" s="70"/>
      <c r="R378" s="70"/>
      <c r="S378" s="70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65"/>
      <c r="AO378" s="56"/>
      <c r="AP378" s="56"/>
      <c r="AQ378" s="56"/>
      <c r="AR378" s="56"/>
    </row>
    <row r="379">
      <c r="A379" s="65"/>
      <c r="B379" s="65"/>
      <c r="C379" s="65"/>
      <c r="D379" s="65"/>
      <c r="E379" s="65"/>
      <c r="F379" s="65"/>
      <c r="G379" s="65"/>
      <c r="H379" s="65"/>
      <c r="I379" s="69"/>
      <c r="J379" s="70"/>
      <c r="K379" s="70"/>
      <c r="L379" s="69"/>
      <c r="M379" s="70"/>
      <c r="N379" s="70"/>
      <c r="O379" s="70"/>
      <c r="P379" s="70"/>
      <c r="Q379" s="70"/>
      <c r="R379" s="70"/>
      <c r="S379" s="70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65"/>
      <c r="AO379" s="56"/>
      <c r="AP379" s="56"/>
      <c r="AQ379" s="56"/>
      <c r="AR379" s="56"/>
    </row>
    <row r="380">
      <c r="A380" s="65"/>
      <c r="B380" s="65"/>
      <c r="C380" s="65"/>
      <c r="D380" s="65"/>
      <c r="E380" s="65"/>
      <c r="F380" s="65"/>
      <c r="G380" s="65"/>
      <c r="H380" s="65"/>
      <c r="I380" s="69"/>
      <c r="J380" s="70"/>
      <c r="K380" s="70"/>
      <c r="L380" s="69"/>
      <c r="M380" s="70"/>
      <c r="N380" s="70"/>
      <c r="O380" s="70"/>
      <c r="P380" s="70"/>
      <c r="Q380" s="70"/>
      <c r="R380" s="70"/>
      <c r="S380" s="70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65"/>
      <c r="AO380" s="56"/>
      <c r="AP380" s="56"/>
      <c r="AQ380" s="56"/>
      <c r="AR380" s="56"/>
    </row>
    <row r="381">
      <c r="A381" s="65"/>
      <c r="B381" s="65"/>
      <c r="C381" s="65"/>
      <c r="D381" s="65"/>
      <c r="E381" s="65"/>
      <c r="F381" s="65"/>
      <c r="G381" s="65"/>
      <c r="H381" s="65"/>
      <c r="I381" s="69"/>
      <c r="J381" s="70"/>
      <c r="K381" s="70"/>
      <c r="L381" s="69"/>
      <c r="M381" s="70"/>
      <c r="N381" s="70"/>
      <c r="O381" s="70"/>
      <c r="P381" s="70"/>
      <c r="Q381" s="70"/>
      <c r="R381" s="70"/>
      <c r="S381" s="70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65"/>
      <c r="AO381" s="56"/>
      <c r="AP381" s="56"/>
      <c r="AQ381" s="56"/>
      <c r="AR381" s="56"/>
    </row>
    <row r="382">
      <c r="A382" s="65"/>
      <c r="B382" s="65"/>
      <c r="C382" s="65"/>
      <c r="D382" s="65"/>
      <c r="E382" s="65"/>
      <c r="F382" s="65"/>
      <c r="G382" s="65"/>
      <c r="H382" s="65"/>
      <c r="I382" s="69"/>
      <c r="J382" s="70"/>
      <c r="K382" s="70"/>
      <c r="L382" s="69"/>
      <c r="M382" s="70"/>
      <c r="N382" s="70"/>
      <c r="O382" s="70"/>
      <c r="P382" s="70"/>
      <c r="Q382" s="70"/>
      <c r="R382" s="70"/>
      <c r="S382" s="70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65"/>
      <c r="AO382" s="56"/>
      <c r="AP382" s="56"/>
      <c r="AQ382" s="56"/>
      <c r="AR382" s="56"/>
    </row>
    <row r="383">
      <c r="A383" s="65"/>
      <c r="B383" s="65"/>
      <c r="C383" s="65"/>
      <c r="D383" s="65"/>
      <c r="E383" s="65"/>
      <c r="F383" s="65"/>
      <c r="G383" s="65"/>
      <c r="H383" s="65"/>
      <c r="I383" s="69"/>
      <c r="J383" s="70"/>
      <c r="K383" s="70"/>
      <c r="L383" s="69"/>
      <c r="M383" s="70"/>
      <c r="N383" s="70"/>
      <c r="O383" s="70"/>
      <c r="P383" s="70"/>
      <c r="Q383" s="70"/>
      <c r="R383" s="70"/>
      <c r="S383" s="70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65"/>
      <c r="AO383" s="56"/>
      <c r="AP383" s="56"/>
      <c r="AQ383" s="56"/>
      <c r="AR383" s="56"/>
    </row>
    <row r="384">
      <c r="A384" s="65"/>
      <c r="B384" s="65"/>
      <c r="C384" s="65"/>
      <c r="D384" s="65"/>
      <c r="E384" s="65"/>
      <c r="F384" s="65"/>
      <c r="G384" s="65"/>
      <c r="H384" s="65"/>
      <c r="I384" s="69"/>
      <c r="J384" s="70"/>
      <c r="K384" s="70"/>
      <c r="L384" s="69"/>
      <c r="M384" s="70"/>
      <c r="N384" s="70"/>
      <c r="O384" s="70"/>
      <c r="P384" s="70"/>
      <c r="Q384" s="70"/>
      <c r="R384" s="70"/>
      <c r="S384" s="70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65"/>
      <c r="AO384" s="56"/>
      <c r="AP384" s="56"/>
      <c r="AQ384" s="56"/>
      <c r="AR384" s="56"/>
    </row>
    <row r="385">
      <c r="A385" s="65"/>
      <c r="B385" s="65"/>
      <c r="C385" s="65"/>
      <c r="D385" s="65"/>
      <c r="E385" s="65"/>
      <c r="F385" s="65"/>
      <c r="G385" s="65"/>
      <c r="H385" s="65"/>
      <c r="I385" s="69"/>
      <c r="J385" s="70"/>
      <c r="K385" s="70"/>
      <c r="L385" s="69"/>
      <c r="M385" s="70"/>
      <c r="N385" s="70"/>
      <c r="O385" s="70"/>
      <c r="P385" s="70"/>
      <c r="Q385" s="70"/>
      <c r="R385" s="70"/>
      <c r="S385" s="70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65"/>
      <c r="AO385" s="56"/>
      <c r="AP385" s="56"/>
      <c r="AQ385" s="56"/>
      <c r="AR385" s="56"/>
    </row>
    <row r="386">
      <c r="A386" s="65"/>
      <c r="B386" s="65"/>
      <c r="C386" s="65"/>
      <c r="D386" s="65"/>
      <c r="E386" s="65"/>
      <c r="F386" s="65"/>
      <c r="G386" s="65"/>
      <c r="H386" s="65"/>
      <c r="I386" s="69"/>
      <c r="J386" s="70"/>
      <c r="K386" s="70"/>
      <c r="L386" s="69"/>
      <c r="M386" s="70"/>
      <c r="N386" s="70"/>
      <c r="O386" s="70"/>
      <c r="P386" s="70"/>
      <c r="Q386" s="70"/>
      <c r="R386" s="70"/>
      <c r="S386" s="70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65"/>
      <c r="AO386" s="56"/>
      <c r="AP386" s="56"/>
      <c r="AQ386" s="56"/>
      <c r="AR386" s="56"/>
    </row>
    <row r="387">
      <c r="A387" s="65"/>
      <c r="B387" s="65"/>
      <c r="C387" s="65"/>
      <c r="D387" s="65"/>
      <c r="E387" s="65"/>
      <c r="F387" s="65"/>
      <c r="G387" s="65"/>
      <c r="H387" s="65"/>
      <c r="I387" s="69"/>
      <c r="J387" s="70"/>
      <c r="K387" s="70"/>
      <c r="L387" s="69"/>
      <c r="M387" s="70"/>
      <c r="N387" s="70"/>
      <c r="O387" s="70"/>
      <c r="P387" s="70"/>
      <c r="Q387" s="70"/>
      <c r="R387" s="70"/>
      <c r="S387" s="70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65"/>
      <c r="AO387" s="56"/>
      <c r="AP387" s="56"/>
      <c r="AQ387" s="56"/>
      <c r="AR387" s="56"/>
    </row>
    <row r="388">
      <c r="A388" s="65"/>
      <c r="B388" s="65"/>
      <c r="C388" s="65"/>
      <c r="D388" s="65"/>
      <c r="E388" s="65"/>
      <c r="F388" s="65"/>
      <c r="G388" s="65"/>
      <c r="H388" s="65"/>
      <c r="I388" s="69"/>
      <c r="J388" s="70"/>
      <c r="K388" s="70"/>
      <c r="L388" s="69"/>
      <c r="M388" s="70"/>
      <c r="N388" s="70"/>
      <c r="O388" s="70"/>
      <c r="P388" s="70"/>
      <c r="Q388" s="70"/>
      <c r="R388" s="70"/>
      <c r="S388" s="70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65"/>
      <c r="AO388" s="56"/>
      <c r="AP388" s="56"/>
      <c r="AQ388" s="56"/>
      <c r="AR388" s="56"/>
    </row>
    <row r="389">
      <c r="A389" s="65"/>
      <c r="B389" s="65"/>
      <c r="C389" s="65"/>
      <c r="D389" s="65"/>
      <c r="E389" s="65"/>
      <c r="F389" s="65"/>
      <c r="G389" s="65"/>
      <c r="H389" s="65"/>
      <c r="I389" s="69"/>
      <c r="J389" s="70"/>
      <c r="K389" s="70"/>
      <c r="L389" s="69"/>
      <c r="M389" s="70"/>
      <c r="N389" s="70"/>
      <c r="O389" s="70"/>
      <c r="P389" s="70"/>
      <c r="Q389" s="70"/>
      <c r="R389" s="70"/>
      <c r="S389" s="70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65"/>
      <c r="AO389" s="56"/>
      <c r="AP389" s="56"/>
      <c r="AQ389" s="56"/>
      <c r="AR389" s="56"/>
    </row>
    <row r="390">
      <c r="A390" s="65"/>
      <c r="B390" s="65"/>
      <c r="C390" s="65"/>
      <c r="D390" s="65"/>
      <c r="E390" s="65"/>
      <c r="F390" s="65"/>
      <c r="G390" s="65"/>
      <c r="H390" s="65"/>
      <c r="I390" s="69"/>
      <c r="J390" s="70"/>
      <c r="K390" s="70"/>
      <c r="L390" s="69"/>
      <c r="M390" s="70"/>
      <c r="N390" s="70"/>
      <c r="O390" s="70"/>
      <c r="P390" s="70"/>
      <c r="Q390" s="70"/>
      <c r="R390" s="70"/>
      <c r="S390" s="70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65"/>
      <c r="AO390" s="56"/>
      <c r="AP390" s="56"/>
      <c r="AQ390" s="56"/>
      <c r="AR390" s="56"/>
    </row>
    <row r="391">
      <c r="A391" s="65"/>
      <c r="B391" s="65"/>
      <c r="C391" s="65"/>
      <c r="D391" s="65"/>
      <c r="E391" s="65"/>
      <c r="F391" s="65"/>
      <c r="G391" s="65"/>
      <c r="H391" s="65"/>
      <c r="I391" s="69"/>
      <c r="J391" s="70"/>
      <c r="K391" s="70"/>
      <c r="L391" s="69"/>
      <c r="M391" s="70"/>
      <c r="N391" s="70"/>
      <c r="O391" s="70"/>
      <c r="P391" s="70"/>
      <c r="Q391" s="70"/>
      <c r="R391" s="70"/>
      <c r="S391" s="70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65"/>
      <c r="AO391" s="56"/>
      <c r="AP391" s="56"/>
      <c r="AQ391" s="56"/>
      <c r="AR391" s="56"/>
    </row>
    <row r="392">
      <c r="A392" s="65"/>
      <c r="B392" s="65"/>
      <c r="C392" s="65"/>
      <c r="D392" s="65"/>
      <c r="E392" s="65"/>
      <c r="F392" s="65"/>
      <c r="G392" s="65"/>
      <c r="H392" s="65"/>
      <c r="I392" s="69"/>
      <c r="J392" s="70"/>
      <c r="K392" s="70"/>
      <c r="L392" s="69"/>
      <c r="M392" s="70"/>
      <c r="N392" s="70"/>
      <c r="O392" s="70"/>
      <c r="P392" s="70"/>
      <c r="Q392" s="70"/>
      <c r="R392" s="70"/>
      <c r="S392" s="70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65"/>
      <c r="AO392" s="56"/>
      <c r="AP392" s="56"/>
      <c r="AQ392" s="56"/>
      <c r="AR392" s="56"/>
    </row>
    <row r="393">
      <c r="A393" s="65"/>
      <c r="B393" s="65"/>
      <c r="C393" s="65"/>
      <c r="D393" s="65"/>
      <c r="E393" s="65"/>
      <c r="F393" s="65"/>
      <c r="G393" s="65"/>
      <c r="H393" s="65"/>
      <c r="I393" s="69"/>
      <c r="J393" s="70"/>
      <c r="K393" s="70"/>
      <c r="L393" s="69"/>
      <c r="M393" s="70"/>
      <c r="N393" s="70"/>
      <c r="O393" s="70"/>
      <c r="P393" s="70"/>
      <c r="Q393" s="70"/>
      <c r="R393" s="70"/>
      <c r="S393" s="70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65"/>
      <c r="AO393" s="56"/>
      <c r="AP393" s="56"/>
      <c r="AQ393" s="56"/>
      <c r="AR393" s="56"/>
    </row>
    <row r="394">
      <c r="A394" s="65"/>
      <c r="B394" s="65"/>
      <c r="C394" s="65"/>
      <c r="D394" s="65"/>
      <c r="E394" s="65"/>
      <c r="F394" s="65"/>
      <c r="G394" s="65"/>
      <c r="H394" s="65"/>
      <c r="I394" s="69"/>
      <c r="J394" s="70"/>
      <c r="K394" s="70"/>
      <c r="L394" s="69"/>
      <c r="M394" s="70"/>
      <c r="N394" s="70"/>
      <c r="O394" s="70"/>
      <c r="P394" s="70"/>
      <c r="Q394" s="70"/>
      <c r="R394" s="70"/>
      <c r="S394" s="70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65"/>
      <c r="AO394" s="56"/>
      <c r="AP394" s="56"/>
      <c r="AQ394" s="56"/>
      <c r="AR394" s="56"/>
    </row>
    <row r="395">
      <c r="A395" s="65"/>
      <c r="B395" s="65"/>
      <c r="C395" s="65"/>
      <c r="D395" s="65"/>
      <c r="E395" s="65"/>
      <c r="F395" s="65"/>
      <c r="G395" s="65"/>
      <c r="H395" s="65"/>
      <c r="I395" s="69"/>
      <c r="J395" s="70"/>
      <c r="K395" s="70"/>
      <c r="L395" s="69"/>
      <c r="M395" s="70"/>
      <c r="N395" s="70"/>
      <c r="O395" s="70"/>
      <c r="P395" s="70"/>
      <c r="Q395" s="70"/>
      <c r="R395" s="70"/>
      <c r="S395" s="70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65"/>
      <c r="AO395" s="56"/>
      <c r="AP395" s="56"/>
      <c r="AQ395" s="56"/>
      <c r="AR395" s="56"/>
    </row>
    <row r="396">
      <c r="A396" s="65"/>
      <c r="B396" s="65"/>
      <c r="C396" s="65"/>
      <c r="D396" s="65"/>
      <c r="E396" s="65"/>
      <c r="F396" s="65"/>
      <c r="G396" s="65"/>
      <c r="H396" s="65"/>
      <c r="I396" s="69"/>
      <c r="J396" s="70"/>
      <c r="K396" s="70"/>
      <c r="L396" s="69"/>
      <c r="M396" s="70"/>
      <c r="N396" s="70"/>
      <c r="O396" s="70"/>
      <c r="P396" s="70"/>
      <c r="Q396" s="70"/>
      <c r="R396" s="70"/>
      <c r="S396" s="70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65"/>
      <c r="AO396" s="56"/>
      <c r="AP396" s="56"/>
      <c r="AQ396" s="56"/>
      <c r="AR396" s="56"/>
    </row>
    <row r="397">
      <c r="A397" s="65"/>
      <c r="B397" s="65"/>
      <c r="C397" s="65"/>
      <c r="D397" s="65"/>
      <c r="E397" s="65"/>
      <c r="F397" s="65"/>
      <c r="G397" s="65"/>
      <c r="H397" s="65"/>
      <c r="I397" s="69"/>
      <c r="J397" s="70"/>
      <c r="K397" s="70"/>
      <c r="L397" s="69"/>
      <c r="M397" s="70"/>
      <c r="N397" s="70"/>
      <c r="O397" s="70"/>
      <c r="P397" s="70"/>
      <c r="Q397" s="70"/>
      <c r="R397" s="70"/>
      <c r="S397" s="70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65"/>
      <c r="AO397" s="56"/>
      <c r="AP397" s="56"/>
      <c r="AQ397" s="56"/>
      <c r="AR397" s="56"/>
    </row>
    <row r="398">
      <c r="A398" s="65"/>
      <c r="B398" s="65"/>
      <c r="C398" s="65"/>
      <c r="D398" s="65"/>
      <c r="E398" s="65"/>
      <c r="F398" s="65"/>
      <c r="G398" s="65"/>
      <c r="H398" s="65"/>
      <c r="I398" s="69"/>
      <c r="J398" s="70"/>
      <c r="K398" s="70"/>
      <c r="L398" s="69"/>
      <c r="M398" s="70"/>
      <c r="N398" s="70"/>
      <c r="O398" s="70"/>
      <c r="P398" s="70"/>
      <c r="Q398" s="70"/>
      <c r="R398" s="70"/>
      <c r="S398" s="70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65"/>
      <c r="AO398" s="56"/>
      <c r="AP398" s="56"/>
      <c r="AQ398" s="56"/>
      <c r="AR398" s="56"/>
    </row>
    <row r="399">
      <c r="A399" s="65"/>
      <c r="B399" s="65"/>
      <c r="C399" s="65"/>
      <c r="D399" s="65"/>
      <c r="E399" s="65"/>
      <c r="F399" s="65"/>
      <c r="G399" s="65"/>
      <c r="H399" s="65"/>
      <c r="I399" s="69"/>
      <c r="J399" s="70"/>
      <c r="K399" s="70"/>
      <c r="L399" s="69"/>
      <c r="M399" s="70"/>
      <c r="N399" s="70"/>
      <c r="O399" s="70"/>
      <c r="P399" s="70"/>
      <c r="Q399" s="70"/>
      <c r="R399" s="70"/>
      <c r="S399" s="70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65"/>
      <c r="AO399" s="56"/>
      <c r="AP399" s="56"/>
      <c r="AQ399" s="56"/>
      <c r="AR399" s="56"/>
    </row>
    <row r="400">
      <c r="A400" s="65"/>
      <c r="B400" s="65"/>
      <c r="C400" s="65"/>
      <c r="D400" s="65"/>
      <c r="E400" s="65"/>
      <c r="F400" s="65"/>
      <c r="G400" s="65"/>
      <c r="H400" s="65"/>
      <c r="I400" s="69"/>
      <c r="J400" s="70"/>
      <c r="K400" s="70"/>
      <c r="L400" s="69"/>
      <c r="M400" s="70"/>
      <c r="N400" s="70"/>
      <c r="O400" s="70"/>
      <c r="P400" s="70"/>
      <c r="Q400" s="70"/>
      <c r="R400" s="70"/>
      <c r="S400" s="70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65"/>
      <c r="AO400" s="56"/>
      <c r="AP400" s="56"/>
      <c r="AQ400" s="56"/>
      <c r="AR400" s="56"/>
    </row>
    <row r="401">
      <c r="A401" s="65"/>
      <c r="B401" s="65"/>
      <c r="C401" s="65"/>
      <c r="D401" s="65"/>
      <c r="E401" s="65"/>
      <c r="F401" s="65"/>
      <c r="G401" s="65"/>
      <c r="H401" s="65"/>
      <c r="I401" s="69"/>
      <c r="J401" s="70"/>
      <c r="K401" s="70"/>
      <c r="L401" s="69"/>
      <c r="M401" s="70"/>
      <c r="N401" s="70"/>
      <c r="O401" s="70"/>
      <c r="P401" s="70"/>
      <c r="Q401" s="70"/>
      <c r="R401" s="70"/>
      <c r="S401" s="70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65"/>
      <c r="AO401" s="56"/>
      <c r="AP401" s="56"/>
      <c r="AQ401" s="56"/>
      <c r="AR401" s="56"/>
    </row>
    <row r="402">
      <c r="A402" s="65"/>
      <c r="B402" s="65"/>
      <c r="C402" s="65"/>
      <c r="D402" s="65"/>
      <c r="E402" s="65"/>
      <c r="F402" s="65"/>
      <c r="G402" s="65"/>
      <c r="H402" s="65"/>
      <c r="I402" s="69"/>
      <c r="J402" s="70"/>
      <c r="K402" s="70"/>
      <c r="L402" s="69"/>
      <c r="M402" s="70"/>
      <c r="N402" s="70"/>
      <c r="O402" s="70"/>
      <c r="P402" s="70"/>
      <c r="Q402" s="70"/>
      <c r="R402" s="70"/>
      <c r="S402" s="70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65"/>
      <c r="AO402" s="56"/>
      <c r="AP402" s="56"/>
      <c r="AQ402" s="56"/>
      <c r="AR402" s="56"/>
    </row>
    <row r="403">
      <c r="A403" s="65"/>
      <c r="B403" s="65"/>
      <c r="C403" s="65"/>
      <c r="D403" s="65"/>
      <c r="E403" s="65"/>
      <c r="F403" s="65"/>
      <c r="G403" s="65"/>
      <c r="H403" s="65"/>
      <c r="I403" s="69"/>
      <c r="J403" s="70"/>
      <c r="K403" s="70"/>
      <c r="L403" s="69"/>
      <c r="M403" s="70"/>
      <c r="N403" s="70"/>
      <c r="O403" s="70"/>
      <c r="P403" s="70"/>
      <c r="Q403" s="70"/>
      <c r="R403" s="70"/>
      <c r="S403" s="70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65"/>
      <c r="AO403" s="56"/>
      <c r="AP403" s="56"/>
      <c r="AQ403" s="56"/>
      <c r="AR403" s="56"/>
    </row>
    <row r="404">
      <c r="A404" s="65"/>
      <c r="B404" s="65"/>
      <c r="C404" s="65"/>
      <c r="D404" s="65"/>
      <c r="E404" s="65"/>
      <c r="F404" s="65"/>
      <c r="G404" s="65"/>
      <c r="H404" s="65"/>
      <c r="I404" s="69"/>
      <c r="J404" s="70"/>
      <c r="K404" s="70"/>
      <c r="L404" s="69"/>
      <c r="M404" s="70"/>
      <c r="N404" s="70"/>
      <c r="O404" s="70"/>
      <c r="P404" s="70"/>
      <c r="Q404" s="70"/>
      <c r="R404" s="70"/>
      <c r="S404" s="70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65"/>
      <c r="AO404" s="56"/>
      <c r="AP404" s="56"/>
      <c r="AQ404" s="56"/>
      <c r="AR404" s="56"/>
    </row>
    <row r="405">
      <c r="A405" s="65"/>
      <c r="B405" s="65"/>
      <c r="C405" s="65"/>
      <c r="D405" s="65"/>
      <c r="E405" s="65"/>
      <c r="F405" s="65"/>
      <c r="G405" s="65"/>
      <c r="H405" s="65"/>
      <c r="I405" s="69"/>
      <c r="J405" s="70"/>
      <c r="K405" s="70"/>
      <c r="L405" s="69"/>
      <c r="M405" s="70"/>
      <c r="N405" s="70"/>
      <c r="O405" s="70"/>
      <c r="P405" s="70"/>
      <c r="Q405" s="70"/>
      <c r="R405" s="70"/>
      <c r="S405" s="70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65"/>
      <c r="AO405" s="56"/>
      <c r="AP405" s="56"/>
      <c r="AQ405" s="56"/>
      <c r="AR405" s="56"/>
    </row>
    <row r="406">
      <c r="A406" s="65"/>
      <c r="B406" s="65"/>
      <c r="C406" s="65"/>
      <c r="D406" s="65"/>
      <c r="E406" s="65"/>
      <c r="F406" s="65"/>
      <c r="G406" s="65"/>
      <c r="H406" s="65"/>
      <c r="I406" s="69"/>
      <c r="J406" s="70"/>
      <c r="K406" s="70"/>
      <c r="L406" s="69"/>
      <c r="M406" s="70"/>
      <c r="N406" s="70"/>
      <c r="O406" s="70"/>
      <c r="P406" s="70"/>
      <c r="Q406" s="70"/>
      <c r="R406" s="70"/>
      <c r="S406" s="70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65"/>
      <c r="AO406" s="56"/>
      <c r="AP406" s="56"/>
      <c r="AQ406" s="56"/>
      <c r="AR406" s="56"/>
    </row>
    <row r="407">
      <c r="A407" s="65"/>
      <c r="B407" s="65"/>
      <c r="C407" s="65"/>
      <c r="D407" s="65"/>
      <c r="E407" s="65"/>
      <c r="F407" s="65"/>
      <c r="G407" s="65"/>
      <c r="H407" s="65"/>
      <c r="I407" s="69"/>
      <c r="J407" s="70"/>
      <c r="K407" s="70"/>
      <c r="L407" s="69"/>
      <c r="M407" s="70"/>
      <c r="N407" s="70"/>
      <c r="O407" s="70"/>
      <c r="P407" s="70"/>
      <c r="Q407" s="70"/>
      <c r="R407" s="70"/>
      <c r="S407" s="70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65"/>
      <c r="AO407" s="56"/>
      <c r="AP407" s="56"/>
      <c r="AQ407" s="56"/>
      <c r="AR407" s="56"/>
    </row>
    <row r="408">
      <c r="A408" s="65"/>
      <c r="B408" s="65"/>
      <c r="C408" s="65"/>
      <c r="D408" s="65"/>
      <c r="E408" s="65"/>
      <c r="F408" s="65"/>
      <c r="G408" s="65"/>
      <c r="H408" s="65"/>
      <c r="I408" s="69"/>
      <c r="J408" s="70"/>
      <c r="K408" s="70"/>
      <c r="L408" s="69"/>
      <c r="M408" s="70"/>
      <c r="N408" s="70"/>
      <c r="O408" s="70"/>
      <c r="P408" s="70"/>
      <c r="Q408" s="70"/>
      <c r="R408" s="70"/>
      <c r="S408" s="70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65"/>
      <c r="AO408" s="56"/>
      <c r="AP408" s="56"/>
      <c r="AQ408" s="56"/>
      <c r="AR408" s="56"/>
    </row>
    <row r="409">
      <c r="A409" s="65"/>
      <c r="B409" s="65"/>
      <c r="C409" s="65"/>
      <c r="D409" s="65"/>
      <c r="E409" s="65"/>
      <c r="F409" s="65"/>
      <c r="G409" s="65"/>
      <c r="H409" s="65"/>
      <c r="I409" s="69"/>
      <c r="J409" s="70"/>
      <c r="K409" s="70"/>
      <c r="L409" s="69"/>
      <c r="M409" s="70"/>
      <c r="N409" s="70"/>
      <c r="O409" s="70"/>
      <c r="P409" s="70"/>
      <c r="Q409" s="70"/>
      <c r="R409" s="70"/>
      <c r="S409" s="70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65"/>
      <c r="AO409" s="56"/>
      <c r="AP409" s="56"/>
      <c r="AQ409" s="56"/>
      <c r="AR409" s="56"/>
    </row>
    <row r="410">
      <c r="A410" s="65"/>
      <c r="B410" s="65"/>
      <c r="C410" s="65"/>
      <c r="D410" s="65"/>
      <c r="E410" s="65"/>
      <c r="F410" s="65"/>
      <c r="G410" s="65"/>
      <c r="H410" s="65"/>
      <c r="I410" s="69"/>
      <c r="J410" s="70"/>
      <c r="K410" s="70"/>
      <c r="L410" s="69"/>
      <c r="M410" s="70"/>
      <c r="N410" s="70"/>
      <c r="O410" s="70"/>
      <c r="P410" s="70"/>
      <c r="Q410" s="70"/>
      <c r="R410" s="70"/>
      <c r="S410" s="70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65"/>
      <c r="AO410" s="56"/>
      <c r="AP410" s="56"/>
      <c r="AQ410" s="56"/>
      <c r="AR410" s="56"/>
    </row>
    <row r="411">
      <c r="A411" s="65"/>
      <c r="B411" s="65"/>
      <c r="C411" s="65"/>
      <c r="D411" s="65"/>
      <c r="E411" s="65"/>
      <c r="F411" s="65"/>
      <c r="G411" s="65"/>
      <c r="H411" s="65"/>
      <c r="I411" s="69"/>
      <c r="J411" s="70"/>
      <c r="K411" s="70"/>
      <c r="L411" s="69"/>
      <c r="M411" s="70"/>
      <c r="N411" s="70"/>
      <c r="O411" s="70"/>
      <c r="P411" s="70"/>
      <c r="Q411" s="70"/>
      <c r="R411" s="70"/>
      <c r="S411" s="70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65"/>
      <c r="AO411" s="56"/>
      <c r="AP411" s="56"/>
      <c r="AQ411" s="56"/>
      <c r="AR411" s="56"/>
    </row>
    <row r="412">
      <c r="A412" s="65"/>
      <c r="B412" s="65"/>
      <c r="C412" s="65"/>
      <c r="D412" s="65"/>
      <c r="E412" s="65"/>
      <c r="F412" s="65"/>
      <c r="G412" s="65"/>
      <c r="H412" s="65"/>
      <c r="I412" s="69"/>
      <c r="J412" s="70"/>
      <c r="K412" s="70"/>
      <c r="L412" s="69"/>
      <c r="M412" s="70"/>
      <c r="N412" s="70"/>
      <c r="O412" s="70"/>
      <c r="P412" s="70"/>
      <c r="Q412" s="70"/>
      <c r="R412" s="70"/>
      <c r="S412" s="70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65"/>
      <c r="AO412" s="56"/>
      <c r="AP412" s="56"/>
      <c r="AQ412" s="56"/>
      <c r="AR412" s="56"/>
    </row>
    <row r="413">
      <c r="A413" s="65"/>
      <c r="B413" s="65"/>
      <c r="C413" s="65"/>
      <c r="D413" s="65"/>
      <c r="E413" s="65"/>
      <c r="F413" s="65"/>
      <c r="G413" s="65"/>
      <c r="H413" s="65"/>
      <c r="I413" s="69"/>
      <c r="J413" s="70"/>
      <c r="K413" s="70"/>
      <c r="L413" s="69"/>
      <c r="M413" s="70"/>
      <c r="N413" s="70"/>
      <c r="O413" s="70"/>
      <c r="P413" s="70"/>
      <c r="Q413" s="70"/>
      <c r="R413" s="70"/>
      <c r="S413" s="70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65"/>
      <c r="AO413" s="56"/>
      <c r="AP413" s="56"/>
      <c r="AQ413" s="56"/>
      <c r="AR413" s="56"/>
    </row>
    <row r="414">
      <c r="A414" s="65"/>
      <c r="B414" s="65"/>
      <c r="C414" s="65"/>
      <c r="D414" s="65"/>
      <c r="E414" s="65"/>
      <c r="F414" s="65"/>
      <c r="G414" s="65"/>
      <c r="H414" s="65"/>
      <c r="I414" s="69"/>
      <c r="J414" s="70"/>
      <c r="K414" s="70"/>
      <c r="L414" s="69"/>
      <c r="M414" s="70"/>
      <c r="N414" s="70"/>
      <c r="O414" s="70"/>
      <c r="P414" s="70"/>
      <c r="Q414" s="70"/>
      <c r="R414" s="70"/>
      <c r="S414" s="70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65"/>
      <c r="AO414" s="56"/>
      <c r="AP414" s="56"/>
      <c r="AQ414" s="56"/>
      <c r="AR414" s="56"/>
    </row>
    <row r="415">
      <c r="A415" s="65"/>
      <c r="B415" s="65"/>
      <c r="C415" s="65"/>
      <c r="D415" s="65"/>
      <c r="E415" s="65"/>
      <c r="F415" s="65"/>
      <c r="G415" s="65"/>
      <c r="H415" s="65"/>
      <c r="I415" s="69"/>
      <c r="J415" s="70"/>
      <c r="K415" s="70"/>
      <c r="L415" s="69"/>
      <c r="M415" s="70"/>
      <c r="N415" s="70"/>
      <c r="O415" s="70"/>
      <c r="P415" s="70"/>
      <c r="Q415" s="70"/>
      <c r="R415" s="70"/>
      <c r="S415" s="70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65"/>
      <c r="AO415" s="56"/>
      <c r="AP415" s="56"/>
      <c r="AQ415" s="56"/>
      <c r="AR415" s="56"/>
    </row>
    <row r="416">
      <c r="A416" s="65"/>
      <c r="B416" s="65"/>
      <c r="C416" s="65"/>
      <c r="D416" s="65"/>
      <c r="E416" s="65"/>
      <c r="F416" s="65"/>
      <c r="G416" s="65"/>
      <c r="H416" s="65"/>
      <c r="I416" s="69"/>
      <c r="J416" s="70"/>
      <c r="K416" s="70"/>
      <c r="L416" s="69"/>
      <c r="M416" s="70"/>
      <c r="N416" s="70"/>
      <c r="O416" s="70"/>
      <c r="P416" s="70"/>
      <c r="Q416" s="70"/>
      <c r="R416" s="70"/>
      <c r="S416" s="70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65"/>
      <c r="AO416" s="56"/>
      <c r="AP416" s="56"/>
      <c r="AQ416" s="56"/>
      <c r="AR416" s="56"/>
    </row>
    <row r="417">
      <c r="A417" s="65"/>
      <c r="B417" s="65"/>
      <c r="C417" s="65"/>
      <c r="D417" s="65"/>
      <c r="E417" s="65"/>
      <c r="F417" s="65"/>
      <c r="G417" s="65"/>
      <c r="H417" s="65"/>
      <c r="I417" s="69"/>
      <c r="J417" s="70"/>
      <c r="K417" s="70"/>
      <c r="L417" s="69"/>
      <c r="M417" s="70"/>
      <c r="N417" s="70"/>
      <c r="O417" s="70"/>
      <c r="P417" s="70"/>
      <c r="Q417" s="70"/>
      <c r="R417" s="70"/>
      <c r="S417" s="70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65"/>
      <c r="AO417" s="56"/>
      <c r="AP417" s="56"/>
      <c r="AQ417" s="56"/>
      <c r="AR417" s="56"/>
    </row>
    <row r="418">
      <c r="A418" s="65"/>
      <c r="B418" s="65"/>
      <c r="C418" s="65"/>
      <c r="D418" s="65"/>
      <c r="E418" s="65"/>
      <c r="F418" s="65"/>
      <c r="G418" s="65"/>
      <c r="H418" s="65"/>
      <c r="I418" s="69"/>
      <c r="J418" s="70"/>
      <c r="K418" s="70"/>
      <c r="L418" s="69"/>
      <c r="M418" s="70"/>
      <c r="N418" s="70"/>
      <c r="O418" s="70"/>
      <c r="P418" s="70"/>
      <c r="Q418" s="70"/>
      <c r="R418" s="70"/>
      <c r="S418" s="70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65"/>
      <c r="AO418" s="56"/>
      <c r="AP418" s="56"/>
      <c r="AQ418" s="56"/>
      <c r="AR418" s="56"/>
    </row>
    <row r="419">
      <c r="A419" s="65"/>
      <c r="B419" s="65"/>
      <c r="C419" s="65"/>
      <c r="D419" s="65"/>
      <c r="E419" s="65"/>
      <c r="F419" s="65"/>
      <c r="G419" s="65"/>
      <c r="H419" s="65"/>
      <c r="I419" s="69"/>
      <c r="J419" s="70"/>
      <c r="K419" s="70"/>
      <c r="L419" s="69"/>
      <c r="M419" s="70"/>
      <c r="N419" s="70"/>
      <c r="O419" s="70"/>
      <c r="P419" s="70"/>
      <c r="Q419" s="70"/>
      <c r="R419" s="70"/>
      <c r="S419" s="70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65"/>
      <c r="AO419" s="56"/>
      <c r="AP419" s="56"/>
      <c r="AQ419" s="56"/>
      <c r="AR419" s="56"/>
    </row>
    <row r="420">
      <c r="A420" s="65"/>
      <c r="B420" s="65"/>
      <c r="C420" s="65"/>
      <c r="D420" s="65"/>
      <c r="E420" s="65"/>
      <c r="F420" s="65"/>
      <c r="G420" s="65"/>
      <c r="H420" s="65"/>
      <c r="I420" s="69"/>
      <c r="J420" s="70"/>
      <c r="K420" s="70"/>
      <c r="L420" s="69"/>
      <c r="M420" s="70"/>
      <c r="N420" s="70"/>
      <c r="O420" s="70"/>
      <c r="P420" s="70"/>
      <c r="Q420" s="70"/>
      <c r="R420" s="70"/>
      <c r="S420" s="70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65"/>
      <c r="AO420" s="56"/>
      <c r="AP420" s="56"/>
      <c r="AQ420" s="56"/>
      <c r="AR420" s="56"/>
    </row>
    <row r="421">
      <c r="A421" s="65"/>
      <c r="B421" s="65"/>
      <c r="C421" s="65"/>
      <c r="D421" s="65"/>
      <c r="E421" s="65"/>
      <c r="F421" s="65"/>
      <c r="G421" s="65"/>
      <c r="H421" s="65"/>
      <c r="I421" s="69"/>
      <c r="J421" s="70"/>
      <c r="K421" s="70"/>
      <c r="L421" s="69"/>
      <c r="M421" s="70"/>
      <c r="N421" s="70"/>
      <c r="O421" s="70"/>
      <c r="P421" s="70"/>
      <c r="Q421" s="70"/>
      <c r="R421" s="70"/>
      <c r="S421" s="70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65"/>
      <c r="AO421" s="56"/>
      <c r="AP421" s="56"/>
      <c r="AQ421" s="56"/>
      <c r="AR421" s="56"/>
    </row>
    <row r="422">
      <c r="A422" s="65"/>
      <c r="B422" s="65"/>
      <c r="C422" s="65"/>
      <c r="D422" s="65"/>
      <c r="E422" s="65"/>
      <c r="F422" s="65"/>
      <c r="G422" s="65"/>
      <c r="H422" s="65"/>
      <c r="I422" s="69"/>
      <c r="J422" s="70"/>
      <c r="K422" s="70"/>
      <c r="L422" s="69"/>
      <c r="M422" s="70"/>
      <c r="N422" s="70"/>
      <c r="O422" s="70"/>
      <c r="P422" s="70"/>
      <c r="Q422" s="70"/>
      <c r="R422" s="70"/>
      <c r="S422" s="70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65"/>
      <c r="AO422" s="56"/>
      <c r="AP422" s="56"/>
      <c r="AQ422" s="56"/>
      <c r="AR422" s="56"/>
    </row>
    <row r="423">
      <c r="A423" s="65"/>
      <c r="B423" s="65"/>
      <c r="C423" s="65"/>
      <c r="D423" s="65"/>
      <c r="E423" s="65"/>
      <c r="F423" s="65"/>
      <c r="G423" s="65"/>
      <c r="H423" s="65"/>
      <c r="I423" s="69"/>
      <c r="J423" s="70"/>
      <c r="K423" s="70"/>
      <c r="L423" s="69"/>
      <c r="M423" s="70"/>
      <c r="N423" s="70"/>
      <c r="O423" s="70"/>
      <c r="P423" s="70"/>
      <c r="Q423" s="70"/>
      <c r="R423" s="70"/>
      <c r="S423" s="70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65"/>
      <c r="AO423" s="56"/>
      <c r="AP423" s="56"/>
      <c r="AQ423" s="56"/>
      <c r="AR423" s="56"/>
    </row>
    <row r="424">
      <c r="A424" s="65"/>
      <c r="B424" s="65"/>
      <c r="C424" s="65"/>
      <c r="D424" s="65"/>
      <c r="E424" s="65"/>
      <c r="F424" s="65"/>
      <c r="G424" s="65"/>
      <c r="H424" s="65"/>
      <c r="I424" s="69"/>
      <c r="J424" s="70"/>
      <c r="K424" s="70"/>
      <c r="L424" s="69"/>
      <c r="M424" s="70"/>
      <c r="N424" s="70"/>
      <c r="O424" s="70"/>
      <c r="P424" s="70"/>
      <c r="Q424" s="70"/>
      <c r="R424" s="70"/>
      <c r="S424" s="70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65"/>
      <c r="AO424" s="56"/>
      <c r="AP424" s="56"/>
      <c r="AQ424" s="56"/>
      <c r="AR424" s="56"/>
    </row>
    <row r="425">
      <c r="A425" s="65"/>
      <c r="B425" s="65"/>
      <c r="C425" s="65"/>
      <c r="D425" s="65"/>
      <c r="E425" s="65"/>
      <c r="F425" s="65"/>
      <c r="G425" s="65"/>
      <c r="H425" s="65"/>
      <c r="I425" s="69"/>
      <c r="J425" s="70"/>
      <c r="K425" s="70"/>
      <c r="L425" s="69"/>
      <c r="M425" s="70"/>
      <c r="N425" s="70"/>
      <c r="O425" s="70"/>
      <c r="P425" s="70"/>
      <c r="Q425" s="70"/>
      <c r="R425" s="70"/>
      <c r="S425" s="70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65"/>
      <c r="AO425" s="56"/>
      <c r="AP425" s="56"/>
      <c r="AQ425" s="56"/>
      <c r="AR425" s="56"/>
    </row>
    <row r="426">
      <c r="A426" s="65"/>
      <c r="B426" s="65"/>
      <c r="C426" s="65"/>
      <c r="D426" s="65"/>
      <c r="E426" s="65"/>
      <c r="F426" s="65"/>
      <c r="G426" s="65"/>
      <c r="H426" s="65"/>
      <c r="I426" s="69"/>
      <c r="J426" s="70"/>
      <c r="K426" s="70"/>
      <c r="L426" s="69"/>
      <c r="M426" s="70"/>
      <c r="N426" s="70"/>
      <c r="O426" s="70"/>
      <c r="P426" s="70"/>
      <c r="Q426" s="70"/>
      <c r="R426" s="70"/>
      <c r="S426" s="70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65"/>
      <c r="AO426" s="56"/>
      <c r="AP426" s="56"/>
      <c r="AQ426" s="56"/>
      <c r="AR426" s="56"/>
    </row>
    <row r="427">
      <c r="A427" s="65"/>
      <c r="B427" s="65"/>
      <c r="C427" s="65"/>
      <c r="D427" s="65"/>
      <c r="E427" s="65"/>
      <c r="F427" s="65"/>
      <c r="G427" s="65"/>
      <c r="H427" s="65"/>
      <c r="I427" s="69"/>
      <c r="J427" s="70"/>
      <c r="K427" s="70"/>
      <c r="L427" s="69"/>
      <c r="M427" s="70"/>
      <c r="N427" s="70"/>
      <c r="O427" s="70"/>
      <c r="P427" s="70"/>
      <c r="Q427" s="70"/>
      <c r="R427" s="70"/>
      <c r="S427" s="70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65"/>
      <c r="AO427" s="56"/>
      <c r="AP427" s="56"/>
      <c r="AQ427" s="56"/>
      <c r="AR427" s="56"/>
    </row>
    <row r="428">
      <c r="A428" s="65"/>
      <c r="B428" s="65"/>
      <c r="C428" s="65"/>
      <c r="D428" s="65"/>
      <c r="E428" s="65"/>
      <c r="F428" s="65"/>
      <c r="G428" s="65"/>
      <c r="H428" s="65"/>
      <c r="I428" s="69"/>
      <c r="J428" s="70"/>
      <c r="K428" s="70"/>
      <c r="L428" s="69"/>
      <c r="M428" s="70"/>
      <c r="N428" s="70"/>
      <c r="O428" s="70"/>
      <c r="P428" s="70"/>
      <c r="Q428" s="70"/>
      <c r="R428" s="70"/>
      <c r="S428" s="70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65"/>
      <c r="AO428" s="56"/>
      <c r="AP428" s="56"/>
      <c r="AQ428" s="56"/>
      <c r="AR428" s="56"/>
    </row>
    <row r="429">
      <c r="A429" s="65"/>
      <c r="B429" s="65"/>
      <c r="C429" s="65"/>
      <c r="D429" s="65"/>
      <c r="E429" s="65"/>
      <c r="F429" s="65"/>
      <c r="G429" s="65"/>
      <c r="H429" s="65"/>
      <c r="I429" s="69"/>
      <c r="J429" s="70"/>
      <c r="K429" s="70"/>
      <c r="L429" s="69"/>
      <c r="M429" s="70"/>
      <c r="N429" s="70"/>
      <c r="O429" s="70"/>
      <c r="P429" s="70"/>
      <c r="Q429" s="70"/>
      <c r="R429" s="70"/>
      <c r="S429" s="70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65"/>
      <c r="AO429" s="56"/>
      <c r="AP429" s="56"/>
      <c r="AQ429" s="56"/>
      <c r="AR429" s="56"/>
    </row>
    <row r="430">
      <c r="A430" s="65"/>
      <c r="B430" s="65"/>
      <c r="C430" s="65"/>
      <c r="D430" s="65"/>
      <c r="E430" s="65"/>
      <c r="F430" s="65"/>
      <c r="G430" s="65"/>
      <c r="H430" s="65"/>
      <c r="I430" s="69"/>
      <c r="J430" s="70"/>
      <c r="K430" s="70"/>
      <c r="L430" s="69"/>
      <c r="M430" s="70"/>
      <c r="N430" s="70"/>
      <c r="O430" s="70"/>
      <c r="P430" s="70"/>
      <c r="Q430" s="70"/>
      <c r="R430" s="70"/>
      <c r="S430" s="70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65"/>
      <c r="AO430" s="56"/>
      <c r="AP430" s="56"/>
      <c r="AQ430" s="56"/>
      <c r="AR430" s="56"/>
    </row>
    <row r="431">
      <c r="A431" s="65"/>
      <c r="B431" s="65"/>
      <c r="C431" s="65"/>
      <c r="D431" s="65"/>
      <c r="E431" s="65"/>
      <c r="F431" s="65"/>
      <c r="G431" s="65"/>
      <c r="H431" s="65"/>
      <c r="I431" s="69"/>
      <c r="J431" s="70"/>
      <c r="K431" s="70"/>
      <c r="L431" s="69"/>
      <c r="M431" s="70"/>
      <c r="N431" s="70"/>
      <c r="O431" s="70"/>
      <c r="P431" s="70"/>
      <c r="Q431" s="70"/>
      <c r="R431" s="70"/>
      <c r="S431" s="70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65"/>
      <c r="AO431" s="56"/>
      <c r="AP431" s="56"/>
      <c r="AQ431" s="56"/>
      <c r="AR431" s="56"/>
    </row>
    <row r="432">
      <c r="A432" s="65"/>
      <c r="B432" s="65"/>
      <c r="C432" s="65"/>
      <c r="D432" s="65"/>
      <c r="E432" s="65"/>
      <c r="F432" s="65"/>
      <c r="G432" s="65"/>
      <c r="H432" s="65"/>
      <c r="I432" s="69"/>
      <c r="J432" s="70"/>
      <c r="K432" s="70"/>
      <c r="L432" s="69"/>
      <c r="M432" s="70"/>
      <c r="N432" s="70"/>
      <c r="O432" s="70"/>
      <c r="P432" s="70"/>
      <c r="Q432" s="70"/>
      <c r="R432" s="70"/>
      <c r="S432" s="70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65"/>
      <c r="AO432" s="56"/>
      <c r="AP432" s="56"/>
      <c r="AQ432" s="56"/>
      <c r="AR432" s="56"/>
    </row>
    <row r="433">
      <c r="A433" s="65"/>
      <c r="B433" s="65"/>
      <c r="C433" s="65"/>
      <c r="D433" s="65"/>
      <c r="E433" s="65"/>
      <c r="F433" s="65"/>
      <c r="G433" s="65"/>
      <c r="H433" s="65"/>
      <c r="I433" s="69"/>
      <c r="J433" s="70"/>
      <c r="K433" s="70"/>
      <c r="L433" s="69"/>
      <c r="M433" s="70"/>
      <c r="N433" s="70"/>
      <c r="O433" s="70"/>
      <c r="P433" s="70"/>
      <c r="Q433" s="70"/>
      <c r="R433" s="70"/>
      <c r="S433" s="70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65"/>
      <c r="AO433" s="56"/>
      <c r="AP433" s="56"/>
      <c r="AQ433" s="56"/>
      <c r="AR433" s="56"/>
    </row>
    <row r="434">
      <c r="A434" s="65"/>
      <c r="B434" s="65"/>
      <c r="C434" s="65"/>
      <c r="D434" s="65"/>
      <c r="E434" s="65"/>
      <c r="F434" s="65"/>
      <c r="G434" s="65"/>
      <c r="H434" s="65"/>
      <c r="I434" s="69"/>
      <c r="J434" s="70"/>
      <c r="K434" s="70"/>
      <c r="L434" s="69"/>
      <c r="M434" s="70"/>
      <c r="N434" s="70"/>
      <c r="O434" s="70"/>
      <c r="P434" s="70"/>
      <c r="Q434" s="70"/>
      <c r="R434" s="70"/>
      <c r="S434" s="70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65"/>
      <c r="AO434" s="56"/>
      <c r="AP434" s="56"/>
      <c r="AQ434" s="56"/>
      <c r="AR434" s="56"/>
    </row>
    <row r="435">
      <c r="A435" s="65"/>
      <c r="B435" s="65"/>
      <c r="C435" s="65"/>
      <c r="D435" s="65"/>
      <c r="E435" s="65"/>
      <c r="F435" s="65"/>
      <c r="G435" s="65"/>
      <c r="H435" s="65"/>
      <c r="I435" s="69"/>
      <c r="J435" s="70"/>
      <c r="K435" s="70"/>
      <c r="L435" s="69"/>
      <c r="M435" s="70"/>
      <c r="N435" s="70"/>
      <c r="O435" s="70"/>
      <c r="P435" s="70"/>
      <c r="Q435" s="70"/>
      <c r="R435" s="70"/>
      <c r="S435" s="70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65"/>
      <c r="AO435" s="56"/>
      <c r="AP435" s="56"/>
      <c r="AQ435" s="56"/>
      <c r="AR435" s="56"/>
    </row>
    <row r="436">
      <c r="A436" s="65"/>
      <c r="B436" s="65"/>
      <c r="C436" s="65"/>
      <c r="D436" s="65"/>
      <c r="E436" s="65"/>
      <c r="F436" s="65"/>
      <c r="G436" s="65"/>
      <c r="H436" s="65"/>
      <c r="I436" s="69"/>
      <c r="J436" s="70"/>
      <c r="K436" s="70"/>
      <c r="L436" s="69"/>
      <c r="M436" s="70"/>
      <c r="N436" s="70"/>
      <c r="O436" s="70"/>
      <c r="P436" s="70"/>
      <c r="Q436" s="70"/>
      <c r="R436" s="70"/>
      <c r="S436" s="70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65"/>
      <c r="AO436" s="56"/>
      <c r="AP436" s="56"/>
      <c r="AQ436" s="56"/>
      <c r="AR436" s="56"/>
    </row>
    <row r="437">
      <c r="A437" s="65"/>
      <c r="B437" s="65"/>
      <c r="C437" s="65"/>
      <c r="D437" s="65"/>
      <c r="E437" s="65"/>
      <c r="F437" s="65"/>
      <c r="G437" s="65"/>
      <c r="H437" s="65"/>
      <c r="I437" s="69"/>
      <c r="J437" s="70"/>
      <c r="K437" s="70"/>
      <c r="L437" s="69"/>
      <c r="M437" s="70"/>
      <c r="N437" s="70"/>
      <c r="O437" s="70"/>
      <c r="P437" s="70"/>
      <c r="Q437" s="70"/>
      <c r="R437" s="70"/>
      <c r="S437" s="70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65"/>
      <c r="AO437" s="56"/>
      <c r="AP437" s="56"/>
      <c r="AQ437" s="56"/>
      <c r="AR437" s="56"/>
    </row>
    <row r="438">
      <c r="A438" s="65"/>
      <c r="B438" s="65"/>
      <c r="C438" s="65"/>
      <c r="D438" s="65"/>
      <c r="E438" s="65"/>
      <c r="F438" s="65"/>
      <c r="G438" s="65"/>
      <c r="H438" s="65"/>
      <c r="I438" s="69"/>
      <c r="J438" s="70"/>
      <c r="K438" s="70"/>
      <c r="L438" s="69"/>
      <c r="M438" s="70"/>
      <c r="N438" s="70"/>
      <c r="O438" s="70"/>
      <c r="P438" s="70"/>
      <c r="Q438" s="70"/>
      <c r="R438" s="70"/>
      <c r="S438" s="70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65"/>
      <c r="AO438" s="56"/>
      <c r="AP438" s="56"/>
      <c r="AQ438" s="56"/>
      <c r="AR438" s="56"/>
    </row>
    <row r="439">
      <c r="A439" s="65"/>
      <c r="B439" s="65"/>
      <c r="C439" s="65"/>
      <c r="D439" s="65"/>
      <c r="E439" s="65"/>
      <c r="F439" s="65"/>
      <c r="G439" s="65"/>
      <c r="H439" s="65"/>
      <c r="I439" s="69"/>
      <c r="J439" s="70"/>
      <c r="K439" s="70"/>
      <c r="L439" s="69"/>
      <c r="M439" s="70"/>
      <c r="N439" s="70"/>
      <c r="O439" s="70"/>
      <c r="P439" s="70"/>
      <c r="Q439" s="70"/>
      <c r="R439" s="70"/>
      <c r="S439" s="70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65"/>
      <c r="AO439" s="56"/>
      <c r="AP439" s="56"/>
      <c r="AQ439" s="56"/>
      <c r="AR439" s="56"/>
    </row>
    <row r="440">
      <c r="A440" s="65"/>
      <c r="B440" s="65"/>
      <c r="C440" s="65"/>
      <c r="D440" s="65"/>
      <c r="E440" s="65"/>
      <c r="F440" s="65"/>
      <c r="G440" s="65"/>
      <c r="H440" s="65"/>
      <c r="I440" s="69"/>
      <c r="J440" s="70"/>
      <c r="K440" s="70"/>
      <c r="L440" s="69"/>
      <c r="M440" s="70"/>
      <c r="N440" s="70"/>
      <c r="O440" s="70"/>
      <c r="P440" s="70"/>
      <c r="Q440" s="70"/>
      <c r="R440" s="70"/>
      <c r="S440" s="70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65"/>
      <c r="AO440" s="56"/>
      <c r="AP440" s="56"/>
      <c r="AQ440" s="56"/>
      <c r="AR440" s="56"/>
    </row>
    <row r="441">
      <c r="A441" s="65"/>
      <c r="B441" s="65"/>
      <c r="C441" s="65"/>
      <c r="D441" s="65"/>
      <c r="E441" s="65"/>
      <c r="F441" s="65"/>
      <c r="G441" s="65"/>
      <c r="H441" s="65"/>
      <c r="I441" s="69"/>
      <c r="J441" s="70"/>
      <c r="K441" s="70"/>
      <c r="L441" s="69"/>
      <c r="M441" s="70"/>
      <c r="N441" s="70"/>
      <c r="O441" s="70"/>
      <c r="P441" s="70"/>
      <c r="Q441" s="70"/>
      <c r="R441" s="70"/>
      <c r="S441" s="70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65"/>
      <c r="AO441" s="56"/>
      <c r="AP441" s="56"/>
      <c r="AQ441" s="56"/>
      <c r="AR441" s="56"/>
    </row>
    <row r="442">
      <c r="A442" s="65"/>
      <c r="B442" s="65"/>
      <c r="C442" s="65"/>
      <c r="D442" s="65"/>
      <c r="E442" s="65"/>
      <c r="F442" s="65"/>
      <c r="G442" s="65"/>
      <c r="H442" s="65"/>
      <c r="I442" s="69"/>
      <c r="J442" s="70"/>
      <c r="K442" s="70"/>
      <c r="L442" s="69"/>
      <c r="M442" s="70"/>
      <c r="N442" s="70"/>
      <c r="O442" s="70"/>
      <c r="P442" s="70"/>
      <c r="Q442" s="70"/>
      <c r="R442" s="70"/>
      <c r="S442" s="70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65"/>
      <c r="AO442" s="56"/>
      <c r="AP442" s="56"/>
      <c r="AQ442" s="56"/>
      <c r="AR442" s="56"/>
    </row>
    <row r="443">
      <c r="A443" s="65"/>
      <c r="B443" s="65"/>
      <c r="C443" s="65"/>
      <c r="D443" s="65"/>
      <c r="E443" s="65"/>
      <c r="F443" s="65"/>
      <c r="G443" s="65"/>
      <c r="H443" s="65"/>
      <c r="I443" s="69"/>
      <c r="J443" s="70"/>
      <c r="K443" s="70"/>
      <c r="L443" s="69"/>
      <c r="M443" s="70"/>
      <c r="N443" s="70"/>
      <c r="O443" s="70"/>
      <c r="P443" s="70"/>
      <c r="Q443" s="70"/>
      <c r="R443" s="70"/>
      <c r="S443" s="70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65"/>
      <c r="AO443" s="56"/>
      <c r="AP443" s="56"/>
      <c r="AQ443" s="56"/>
      <c r="AR443" s="56"/>
    </row>
    <row r="444">
      <c r="A444" s="65"/>
      <c r="B444" s="65"/>
      <c r="C444" s="65"/>
      <c r="D444" s="65"/>
      <c r="E444" s="65"/>
      <c r="F444" s="65"/>
      <c r="G444" s="65"/>
      <c r="H444" s="65"/>
      <c r="I444" s="69"/>
      <c r="J444" s="70"/>
      <c r="K444" s="70"/>
      <c r="L444" s="69"/>
      <c r="M444" s="70"/>
      <c r="N444" s="70"/>
      <c r="O444" s="70"/>
      <c r="P444" s="70"/>
      <c r="Q444" s="70"/>
      <c r="R444" s="70"/>
      <c r="S444" s="70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65"/>
      <c r="AO444" s="56"/>
      <c r="AP444" s="56"/>
      <c r="AQ444" s="56"/>
      <c r="AR444" s="56"/>
    </row>
    <row r="445">
      <c r="A445" s="65"/>
      <c r="B445" s="65"/>
      <c r="C445" s="65"/>
      <c r="D445" s="65"/>
      <c r="E445" s="65"/>
      <c r="F445" s="65"/>
      <c r="G445" s="65"/>
      <c r="H445" s="65"/>
      <c r="I445" s="69"/>
      <c r="J445" s="70"/>
      <c r="K445" s="70"/>
      <c r="L445" s="69"/>
      <c r="M445" s="70"/>
      <c r="N445" s="70"/>
      <c r="O445" s="70"/>
      <c r="P445" s="70"/>
      <c r="Q445" s="70"/>
      <c r="R445" s="70"/>
      <c r="S445" s="70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65"/>
      <c r="AO445" s="56"/>
      <c r="AP445" s="56"/>
      <c r="AQ445" s="56"/>
      <c r="AR445" s="56"/>
    </row>
    <row r="446">
      <c r="A446" s="65"/>
      <c r="B446" s="65"/>
      <c r="C446" s="65"/>
      <c r="D446" s="65"/>
      <c r="E446" s="65"/>
      <c r="F446" s="65"/>
      <c r="G446" s="65"/>
      <c r="H446" s="65"/>
      <c r="I446" s="69"/>
      <c r="J446" s="70"/>
      <c r="K446" s="70"/>
      <c r="L446" s="69"/>
      <c r="M446" s="70"/>
      <c r="N446" s="70"/>
      <c r="O446" s="70"/>
      <c r="P446" s="70"/>
      <c r="Q446" s="70"/>
      <c r="R446" s="70"/>
      <c r="S446" s="70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65"/>
      <c r="AO446" s="56"/>
      <c r="AP446" s="56"/>
      <c r="AQ446" s="56"/>
      <c r="AR446" s="56"/>
    </row>
    <row r="447">
      <c r="A447" s="65"/>
      <c r="B447" s="65"/>
      <c r="C447" s="65"/>
      <c r="D447" s="65"/>
      <c r="E447" s="65"/>
      <c r="F447" s="65"/>
      <c r="G447" s="65"/>
      <c r="H447" s="65"/>
      <c r="I447" s="69"/>
      <c r="J447" s="70"/>
      <c r="K447" s="70"/>
      <c r="L447" s="69"/>
      <c r="M447" s="70"/>
      <c r="N447" s="70"/>
      <c r="O447" s="70"/>
      <c r="P447" s="70"/>
      <c r="Q447" s="70"/>
      <c r="R447" s="70"/>
      <c r="S447" s="70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65"/>
      <c r="AO447" s="56"/>
      <c r="AP447" s="56"/>
      <c r="AQ447" s="56"/>
      <c r="AR447" s="56"/>
    </row>
    <row r="448">
      <c r="A448" s="65"/>
      <c r="B448" s="65"/>
      <c r="C448" s="65"/>
      <c r="D448" s="65"/>
      <c r="E448" s="65"/>
      <c r="F448" s="65"/>
      <c r="G448" s="65"/>
      <c r="H448" s="65"/>
      <c r="I448" s="69"/>
      <c r="J448" s="70"/>
      <c r="K448" s="70"/>
      <c r="L448" s="69"/>
      <c r="M448" s="70"/>
      <c r="N448" s="70"/>
      <c r="O448" s="70"/>
      <c r="P448" s="70"/>
      <c r="Q448" s="70"/>
      <c r="R448" s="70"/>
      <c r="S448" s="70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65"/>
      <c r="AO448" s="56"/>
      <c r="AP448" s="56"/>
      <c r="AQ448" s="56"/>
      <c r="AR448" s="56"/>
    </row>
    <row r="449">
      <c r="A449" s="65"/>
      <c r="B449" s="65"/>
      <c r="C449" s="65"/>
      <c r="D449" s="65"/>
      <c r="E449" s="65"/>
      <c r="F449" s="65"/>
      <c r="G449" s="65"/>
      <c r="H449" s="65"/>
      <c r="I449" s="69"/>
      <c r="J449" s="70"/>
      <c r="K449" s="70"/>
      <c r="L449" s="69"/>
      <c r="M449" s="70"/>
      <c r="N449" s="70"/>
      <c r="O449" s="70"/>
      <c r="P449" s="70"/>
      <c r="Q449" s="70"/>
      <c r="R449" s="70"/>
      <c r="S449" s="70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65"/>
      <c r="AO449" s="56"/>
      <c r="AP449" s="56"/>
      <c r="AQ449" s="56"/>
      <c r="AR449" s="56"/>
    </row>
    <row r="450">
      <c r="A450" s="65"/>
      <c r="B450" s="65"/>
      <c r="C450" s="65"/>
      <c r="D450" s="65"/>
      <c r="E450" s="65"/>
      <c r="F450" s="65"/>
      <c r="G450" s="65"/>
      <c r="H450" s="65"/>
      <c r="I450" s="69"/>
      <c r="J450" s="70"/>
      <c r="K450" s="70"/>
      <c r="L450" s="69"/>
      <c r="M450" s="70"/>
      <c r="N450" s="70"/>
      <c r="O450" s="70"/>
      <c r="P450" s="70"/>
      <c r="Q450" s="70"/>
      <c r="R450" s="70"/>
      <c r="S450" s="70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65"/>
      <c r="AO450" s="56"/>
      <c r="AP450" s="56"/>
      <c r="AQ450" s="56"/>
      <c r="AR450" s="56"/>
    </row>
    <row r="451">
      <c r="A451" s="65"/>
      <c r="B451" s="65"/>
      <c r="C451" s="65"/>
      <c r="D451" s="65"/>
      <c r="E451" s="65"/>
      <c r="F451" s="65"/>
      <c r="G451" s="65"/>
      <c r="H451" s="65"/>
      <c r="I451" s="69"/>
      <c r="J451" s="70"/>
      <c r="K451" s="70"/>
      <c r="L451" s="69"/>
      <c r="M451" s="70"/>
      <c r="N451" s="70"/>
      <c r="O451" s="70"/>
      <c r="P451" s="70"/>
      <c r="Q451" s="70"/>
      <c r="R451" s="70"/>
      <c r="S451" s="70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65"/>
      <c r="AO451" s="56"/>
      <c r="AP451" s="56"/>
      <c r="AQ451" s="56"/>
      <c r="AR451" s="56"/>
    </row>
    <row r="452">
      <c r="A452" s="65"/>
      <c r="B452" s="65"/>
      <c r="C452" s="65"/>
      <c r="D452" s="65"/>
      <c r="E452" s="65"/>
      <c r="F452" s="65"/>
      <c r="G452" s="65"/>
      <c r="H452" s="65"/>
      <c r="I452" s="69"/>
      <c r="J452" s="70"/>
      <c r="K452" s="70"/>
      <c r="L452" s="69"/>
      <c r="M452" s="70"/>
      <c r="N452" s="70"/>
      <c r="O452" s="70"/>
      <c r="P452" s="70"/>
      <c r="Q452" s="70"/>
      <c r="R452" s="70"/>
      <c r="S452" s="70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65"/>
      <c r="AO452" s="56"/>
      <c r="AP452" s="56"/>
      <c r="AQ452" s="56"/>
      <c r="AR452" s="56"/>
    </row>
    <row r="453">
      <c r="A453" s="65"/>
      <c r="B453" s="65"/>
      <c r="C453" s="65"/>
      <c r="D453" s="65"/>
      <c r="E453" s="65"/>
      <c r="F453" s="65"/>
      <c r="G453" s="65"/>
      <c r="H453" s="65"/>
      <c r="I453" s="69"/>
      <c r="J453" s="70"/>
      <c r="K453" s="70"/>
      <c r="L453" s="69"/>
      <c r="M453" s="70"/>
      <c r="N453" s="70"/>
      <c r="O453" s="70"/>
      <c r="P453" s="70"/>
      <c r="Q453" s="70"/>
      <c r="R453" s="70"/>
      <c r="S453" s="70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65"/>
      <c r="AO453" s="56"/>
      <c r="AP453" s="56"/>
      <c r="AQ453" s="56"/>
      <c r="AR453" s="56"/>
    </row>
    <row r="454">
      <c r="A454" s="65"/>
      <c r="B454" s="65"/>
      <c r="C454" s="65"/>
      <c r="D454" s="65"/>
      <c r="E454" s="65"/>
      <c r="F454" s="65"/>
      <c r="G454" s="65"/>
      <c r="H454" s="65"/>
      <c r="I454" s="69"/>
      <c r="J454" s="70"/>
      <c r="K454" s="70"/>
      <c r="L454" s="69"/>
      <c r="M454" s="70"/>
      <c r="N454" s="70"/>
      <c r="O454" s="70"/>
      <c r="P454" s="70"/>
      <c r="Q454" s="70"/>
      <c r="R454" s="70"/>
      <c r="S454" s="70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65"/>
      <c r="AO454" s="56"/>
      <c r="AP454" s="56"/>
      <c r="AQ454" s="56"/>
      <c r="AR454" s="56"/>
    </row>
    <row r="455">
      <c r="A455" s="65"/>
      <c r="B455" s="65"/>
      <c r="C455" s="65"/>
      <c r="D455" s="65"/>
      <c r="E455" s="65"/>
      <c r="F455" s="65"/>
      <c r="G455" s="65"/>
      <c r="H455" s="65"/>
      <c r="I455" s="69"/>
      <c r="J455" s="70"/>
      <c r="K455" s="70"/>
      <c r="L455" s="69"/>
      <c r="M455" s="70"/>
      <c r="N455" s="70"/>
      <c r="O455" s="70"/>
      <c r="P455" s="70"/>
      <c r="Q455" s="70"/>
      <c r="R455" s="70"/>
      <c r="S455" s="70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65"/>
      <c r="AO455" s="56"/>
      <c r="AP455" s="56"/>
      <c r="AQ455" s="56"/>
      <c r="AR455" s="56"/>
    </row>
    <row r="456">
      <c r="A456" s="65"/>
      <c r="B456" s="65"/>
      <c r="C456" s="65"/>
      <c r="D456" s="65"/>
      <c r="E456" s="65"/>
      <c r="F456" s="65"/>
      <c r="G456" s="65"/>
      <c r="H456" s="65"/>
      <c r="I456" s="69"/>
      <c r="J456" s="70"/>
      <c r="K456" s="70"/>
      <c r="L456" s="69"/>
      <c r="M456" s="70"/>
      <c r="N456" s="70"/>
      <c r="O456" s="70"/>
      <c r="P456" s="70"/>
      <c r="Q456" s="70"/>
      <c r="R456" s="70"/>
      <c r="S456" s="70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65"/>
      <c r="AO456" s="56"/>
      <c r="AP456" s="56"/>
      <c r="AQ456" s="56"/>
      <c r="AR456" s="56"/>
    </row>
    <row r="457">
      <c r="A457" s="65"/>
      <c r="B457" s="65"/>
      <c r="C457" s="65"/>
      <c r="D457" s="65"/>
      <c r="E457" s="65"/>
      <c r="F457" s="65"/>
      <c r="G457" s="65"/>
      <c r="H457" s="65"/>
      <c r="I457" s="69"/>
      <c r="J457" s="70"/>
      <c r="K457" s="70"/>
      <c r="L457" s="69"/>
      <c r="M457" s="70"/>
      <c r="N457" s="70"/>
      <c r="O457" s="70"/>
      <c r="P457" s="70"/>
      <c r="Q457" s="70"/>
      <c r="R457" s="70"/>
      <c r="S457" s="70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65"/>
      <c r="AO457" s="56"/>
      <c r="AP457" s="56"/>
      <c r="AQ457" s="56"/>
      <c r="AR457" s="56"/>
    </row>
    <row r="458">
      <c r="A458" s="65"/>
      <c r="B458" s="65"/>
      <c r="C458" s="65"/>
      <c r="D458" s="65"/>
      <c r="E458" s="65"/>
      <c r="F458" s="65"/>
      <c r="G458" s="65"/>
      <c r="H458" s="65"/>
      <c r="I458" s="69"/>
      <c r="J458" s="70"/>
      <c r="K458" s="70"/>
      <c r="L458" s="69"/>
      <c r="M458" s="70"/>
      <c r="N458" s="70"/>
      <c r="O458" s="70"/>
      <c r="P458" s="70"/>
      <c r="Q458" s="70"/>
      <c r="R458" s="70"/>
      <c r="S458" s="70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65"/>
      <c r="AO458" s="56"/>
      <c r="AP458" s="56"/>
      <c r="AQ458" s="56"/>
      <c r="AR458" s="56"/>
    </row>
    <row r="459">
      <c r="A459" s="65"/>
      <c r="B459" s="65"/>
      <c r="C459" s="65"/>
      <c r="D459" s="65"/>
      <c r="E459" s="65"/>
      <c r="F459" s="65"/>
      <c r="G459" s="65"/>
      <c r="H459" s="65"/>
      <c r="I459" s="69"/>
      <c r="J459" s="70"/>
      <c r="K459" s="70"/>
      <c r="L459" s="69"/>
      <c r="M459" s="70"/>
      <c r="N459" s="70"/>
      <c r="O459" s="70"/>
      <c r="P459" s="70"/>
      <c r="Q459" s="70"/>
      <c r="R459" s="70"/>
      <c r="S459" s="70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65"/>
      <c r="AO459" s="56"/>
      <c r="AP459" s="56"/>
      <c r="AQ459" s="56"/>
      <c r="AR459" s="56"/>
    </row>
    <row r="460">
      <c r="A460" s="65"/>
      <c r="B460" s="65"/>
      <c r="C460" s="65"/>
      <c r="D460" s="65"/>
      <c r="E460" s="65"/>
      <c r="F460" s="65"/>
      <c r="G460" s="65"/>
      <c r="H460" s="65"/>
      <c r="I460" s="69"/>
      <c r="J460" s="70"/>
      <c r="K460" s="70"/>
      <c r="L460" s="69"/>
      <c r="M460" s="70"/>
      <c r="N460" s="70"/>
      <c r="O460" s="70"/>
      <c r="P460" s="70"/>
      <c r="Q460" s="70"/>
      <c r="R460" s="70"/>
      <c r="S460" s="70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65"/>
      <c r="AO460" s="56"/>
      <c r="AP460" s="56"/>
      <c r="AQ460" s="56"/>
      <c r="AR460" s="56"/>
    </row>
    <row r="461">
      <c r="A461" s="65"/>
      <c r="B461" s="65"/>
      <c r="C461" s="65"/>
      <c r="D461" s="65"/>
      <c r="E461" s="65"/>
      <c r="F461" s="65"/>
      <c r="G461" s="65"/>
      <c r="H461" s="65"/>
      <c r="I461" s="69"/>
      <c r="J461" s="70"/>
      <c r="K461" s="70"/>
      <c r="L461" s="69"/>
      <c r="M461" s="70"/>
      <c r="N461" s="70"/>
      <c r="O461" s="70"/>
      <c r="P461" s="70"/>
      <c r="Q461" s="70"/>
      <c r="R461" s="70"/>
      <c r="S461" s="70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65"/>
      <c r="AO461" s="56"/>
      <c r="AP461" s="56"/>
      <c r="AQ461" s="56"/>
      <c r="AR461" s="56"/>
    </row>
    <row r="462">
      <c r="A462" s="65"/>
      <c r="B462" s="65"/>
      <c r="C462" s="65"/>
      <c r="D462" s="65"/>
      <c r="E462" s="65"/>
      <c r="F462" s="65"/>
      <c r="G462" s="65"/>
      <c r="H462" s="65"/>
      <c r="I462" s="69"/>
      <c r="J462" s="70"/>
      <c r="K462" s="70"/>
      <c r="L462" s="69"/>
      <c r="M462" s="70"/>
      <c r="N462" s="70"/>
      <c r="O462" s="70"/>
      <c r="P462" s="70"/>
      <c r="Q462" s="70"/>
      <c r="R462" s="70"/>
      <c r="S462" s="70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65"/>
      <c r="AO462" s="56"/>
      <c r="AP462" s="56"/>
      <c r="AQ462" s="56"/>
      <c r="AR462" s="56"/>
    </row>
    <row r="463">
      <c r="A463" s="65"/>
      <c r="B463" s="65"/>
      <c r="C463" s="65"/>
      <c r="D463" s="65"/>
      <c r="E463" s="65"/>
      <c r="F463" s="65"/>
      <c r="G463" s="65"/>
      <c r="H463" s="65"/>
      <c r="I463" s="69"/>
      <c r="J463" s="70"/>
      <c r="K463" s="70"/>
      <c r="L463" s="69"/>
      <c r="M463" s="70"/>
      <c r="N463" s="70"/>
      <c r="O463" s="70"/>
      <c r="P463" s="70"/>
      <c r="Q463" s="70"/>
      <c r="R463" s="70"/>
      <c r="S463" s="70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65"/>
      <c r="AO463" s="56"/>
      <c r="AP463" s="56"/>
      <c r="AQ463" s="56"/>
      <c r="AR463" s="56"/>
    </row>
    <row r="464">
      <c r="A464" s="65"/>
      <c r="B464" s="65"/>
      <c r="C464" s="65"/>
      <c r="D464" s="65"/>
      <c r="E464" s="65"/>
      <c r="F464" s="65"/>
      <c r="G464" s="65"/>
      <c r="H464" s="65"/>
      <c r="I464" s="69"/>
      <c r="J464" s="70"/>
      <c r="K464" s="70"/>
      <c r="L464" s="69"/>
      <c r="M464" s="70"/>
      <c r="N464" s="70"/>
      <c r="O464" s="70"/>
      <c r="P464" s="70"/>
      <c r="Q464" s="70"/>
      <c r="R464" s="70"/>
      <c r="S464" s="70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65"/>
      <c r="AO464" s="56"/>
      <c r="AP464" s="56"/>
      <c r="AQ464" s="56"/>
      <c r="AR464" s="56"/>
    </row>
    <row r="465">
      <c r="A465" s="65"/>
      <c r="B465" s="65"/>
      <c r="C465" s="65"/>
      <c r="D465" s="65"/>
      <c r="E465" s="65"/>
      <c r="F465" s="65"/>
      <c r="G465" s="65"/>
      <c r="H465" s="65"/>
      <c r="I465" s="69"/>
      <c r="J465" s="70"/>
      <c r="K465" s="70"/>
      <c r="L465" s="69"/>
      <c r="M465" s="70"/>
      <c r="N465" s="70"/>
      <c r="O465" s="70"/>
      <c r="P465" s="70"/>
      <c r="Q465" s="70"/>
      <c r="R465" s="70"/>
      <c r="S465" s="70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65"/>
      <c r="AO465" s="56"/>
      <c r="AP465" s="56"/>
      <c r="AQ465" s="56"/>
      <c r="AR465" s="56"/>
    </row>
    <row r="466">
      <c r="A466" s="65"/>
      <c r="B466" s="65"/>
      <c r="C466" s="65"/>
      <c r="D466" s="65"/>
      <c r="E466" s="65"/>
      <c r="F466" s="65"/>
      <c r="G466" s="65"/>
      <c r="H466" s="65"/>
      <c r="I466" s="69"/>
      <c r="J466" s="70"/>
      <c r="K466" s="70"/>
      <c r="L466" s="69"/>
      <c r="M466" s="70"/>
      <c r="N466" s="70"/>
      <c r="O466" s="70"/>
      <c r="P466" s="70"/>
      <c r="Q466" s="70"/>
      <c r="R466" s="70"/>
      <c r="S466" s="70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65"/>
      <c r="AO466" s="56"/>
      <c r="AP466" s="56"/>
      <c r="AQ466" s="56"/>
      <c r="AR466" s="56"/>
    </row>
    <row r="467">
      <c r="A467" s="65"/>
      <c r="B467" s="65"/>
      <c r="C467" s="65"/>
      <c r="D467" s="65"/>
      <c r="E467" s="65"/>
      <c r="F467" s="65"/>
      <c r="G467" s="65"/>
      <c r="H467" s="65"/>
      <c r="I467" s="69"/>
      <c r="J467" s="70"/>
      <c r="K467" s="70"/>
      <c r="L467" s="69"/>
      <c r="M467" s="70"/>
      <c r="N467" s="70"/>
      <c r="O467" s="70"/>
      <c r="P467" s="70"/>
      <c r="Q467" s="70"/>
      <c r="R467" s="70"/>
      <c r="S467" s="70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65"/>
      <c r="AO467" s="56"/>
      <c r="AP467" s="56"/>
      <c r="AQ467" s="56"/>
      <c r="AR467" s="56"/>
    </row>
    <row r="468">
      <c r="A468" s="65"/>
      <c r="B468" s="65"/>
      <c r="C468" s="65"/>
      <c r="D468" s="65"/>
      <c r="E468" s="65"/>
      <c r="F468" s="65"/>
      <c r="G468" s="65"/>
      <c r="H468" s="65"/>
      <c r="I468" s="69"/>
      <c r="J468" s="70"/>
      <c r="K468" s="70"/>
      <c r="L468" s="69"/>
      <c r="M468" s="70"/>
      <c r="N468" s="70"/>
      <c r="O468" s="70"/>
      <c r="P468" s="70"/>
      <c r="Q468" s="70"/>
      <c r="R468" s="70"/>
      <c r="S468" s="70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65"/>
      <c r="AO468" s="56"/>
      <c r="AP468" s="56"/>
      <c r="AQ468" s="56"/>
      <c r="AR468" s="56"/>
    </row>
    <row r="469">
      <c r="A469" s="65"/>
      <c r="B469" s="65"/>
      <c r="C469" s="65"/>
      <c r="D469" s="65"/>
      <c r="E469" s="65"/>
      <c r="F469" s="65"/>
      <c r="G469" s="65"/>
      <c r="H469" s="65"/>
      <c r="I469" s="69"/>
      <c r="J469" s="70"/>
      <c r="K469" s="70"/>
      <c r="L469" s="69"/>
      <c r="M469" s="70"/>
      <c r="N469" s="70"/>
      <c r="O469" s="70"/>
      <c r="P469" s="70"/>
      <c r="Q469" s="70"/>
      <c r="R469" s="70"/>
      <c r="S469" s="70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65"/>
      <c r="AO469" s="56"/>
      <c r="AP469" s="56"/>
      <c r="AQ469" s="56"/>
      <c r="AR469" s="56"/>
    </row>
    <row r="470">
      <c r="A470" s="65"/>
      <c r="B470" s="65"/>
      <c r="C470" s="65"/>
      <c r="D470" s="65"/>
      <c r="E470" s="65"/>
      <c r="F470" s="65"/>
      <c r="G470" s="65"/>
      <c r="H470" s="65"/>
      <c r="I470" s="69"/>
      <c r="J470" s="70"/>
      <c r="K470" s="70"/>
      <c r="L470" s="69"/>
      <c r="M470" s="70"/>
      <c r="N470" s="70"/>
      <c r="O470" s="70"/>
      <c r="P470" s="70"/>
      <c r="Q470" s="70"/>
      <c r="R470" s="70"/>
      <c r="S470" s="70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65"/>
      <c r="AO470" s="56"/>
      <c r="AP470" s="56"/>
      <c r="AQ470" s="56"/>
      <c r="AR470" s="56"/>
    </row>
    <row r="471">
      <c r="A471" s="65"/>
      <c r="B471" s="65"/>
      <c r="C471" s="65"/>
      <c r="D471" s="65"/>
      <c r="E471" s="65"/>
      <c r="F471" s="65"/>
      <c r="G471" s="65"/>
      <c r="H471" s="65"/>
      <c r="I471" s="69"/>
      <c r="J471" s="70"/>
      <c r="K471" s="70"/>
      <c r="L471" s="69"/>
      <c r="M471" s="70"/>
      <c r="N471" s="70"/>
      <c r="O471" s="70"/>
      <c r="P471" s="70"/>
      <c r="Q471" s="70"/>
      <c r="R471" s="70"/>
      <c r="S471" s="70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65"/>
      <c r="AO471" s="56"/>
      <c r="AP471" s="56"/>
      <c r="AQ471" s="56"/>
      <c r="AR471" s="56"/>
    </row>
    <row r="472">
      <c r="A472" s="65"/>
      <c r="B472" s="65"/>
      <c r="C472" s="65"/>
      <c r="D472" s="65"/>
      <c r="E472" s="65"/>
      <c r="F472" s="65"/>
      <c r="G472" s="65"/>
      <c r="H472" s="65"/>
      <c r="I472" s="69"/>
      <c r="J472" s="70"/>
      <c r="K472" s="70"/>
      <c r="L472" s="69"/>
      <c r="M472" s="70"/>
      <c r="N472" s="70"/>
      <c r="O472" s="70"/>
      <c r="P472" s="70"/>
      <c r="Q472" s="70"/>
      <c r="R472" s="70"/>
      <c r="S472" s="70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65"/>
      <c r="AO472" s="56"/>
      <c r="AP472" s="56"/>
      <c r="AQ472" s="56"/>
      <c r="AR472" s="56"/>
    </row>
    <row r="473">
      <c r="A473" s="65"/>
      <c r="B473" s="65"/>
      <c r="C473" s="65"/>
      <c r="D473" s="65"/>
      <c r="E473" s="65"/>
      <c r="F473" s="65"/>
      <c r="G473" s="65"/>
      <c r="H473" s="65"/>
      <c r="I473" s="69"/>
      <c r="J473" s="70"/>
      <c r="K473" s="70"/>
      <c r="L473" s="69"/>
      <c r="M473" s="70"/>
      <c r="N473" s="70"/>
      <c r="O473" s="70"/>
      <c r="P473" s="70"/>
      <c r="Q473" s="70"/>
      <c r="R473" s="70"/>
      <c r="S473" s="70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65"/>
      <c r="AO473" s="56"/>
      <c r="AP473" s="56"/>
      <c r="AQ473" s="56"/>
      <c r="AR473" s="56"/>
    </row>
    <row r="474">
      <c r="A474" s="65"/>
      <c r="B474" s="65"/>
      <c r="C474" s="65"/>
      <c r="D474" s="65"/>
      <c r="E474" s="65"/>
      <c r="F474" s="65"/>
      <c r="G474" s="65"/>
      <c r="H474" s="65"/>
      <c r="I474" s="69"/>
      <c r="J474" s="70"/>
      <c r="K474" s="70"/>
      <c r="L474" s="69"/>
      <c r="M474" s="70"/>
      <c r="N474" s="70"/>
      <c r="O474" s="70"/>
      <c r="P474" s="70"/>
      <c r="Q474" s="70"/>
      <c r="R474" s="70"/>
      <c r="S474" s="70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65"/>
      <c r="AO474" s="56"/>
      <c r="AP474" s="56"/>
      <c r="AQ474" s="56"/>
      <c r="AR474" s="56"/>
    </row>
    <row r="475">
      <c r="A475" s="65"/>
      <c r="B475" s="65"/>
      <c r="C475" s="65"/>
      <c r="D475" s="65"/>
      <c r="E475" s="65"/>
      <c r="F475" s="65"/>
      <c r="G475" s="65"/>
      <c r="H475" s="65"/>
      <c r="I475" s="69"/>
      <c r="J475" s="70"/>
      <c r="K475" s="70"/>
      <c r="L475" s="69"/>
      <c r="M475" s="70"/>
      <c r="N475" s="70"/>
      <c r="O475" s="70"/>
      <c r="P475" s="70"/>
      <c r="Q475" s="70"/>
      <c r="R475" s="70"/>
      <c r="S475" s="70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65"/>
      <c r="AO475" s="56"/>
      <c r="AP475" s="56"/>
      <c r="AQ475" s="56"/>
      <c r="AR475" s="56"/>
    </row>
    <row r="476">
      <c r="A476" s="65"/>
      <c r="B476" s="65"/>
      <c r="C476" s="65"/>
      <c r="D476" s="65"/>
      <c r="E476" s="65"/>
      <c r="F476" s="65"/>
      <c r="G476" s="65"/>
      <c r="H476" s="65"/>
      <c r="I476" s="69"/>
      <c r="J476" s="70"/>
      <c r="K476" s="70"/>
      <c r="L476" s="69"/>
      <c r="M476" s="70"/>
      <c r="N476" s="70"/>
      <c r="O476" s="70"/>
      <c r="P476" s="70"/>
      <c r="Q476" s="70"/>
      <c r="R476" s="70"/>
      <c r="S476" s="70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65"/>
      <c r="AO476" s="56"/>
      <c r="AP476" s="56"/>
      <c r="AQ476" s="56"/>
      <c r="AR476" s="56"/>
    </row>
    <row r="477">
      <c r="A477" s="65"/>
      <c r="B477" s="65"/>
      <c r="C477" s="65"/>
      <c r="D477" s="65"/>
      <c r="E477" s="65"/>
      <c r="F477" s="65"/>
      <c r="G477" s="65"/>
      <c r="H477" s="65"/>
      <c r="I477" s="69"/>
      <c r="J477" s="70"/>
      <c r="K477" s="70"/>
      <c r="L477" s="69"/>
      <c r="M477" s="70"/>
      <c r="N477" s="70"/>
      <c r="O477" s="70"/>
      <c r="P477" s="70"/>
      <c r="Q477" s="70"/>
      <c r="R477" s="70"/>
      <c r="S477" s="70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65"/>
      <c r="AO477" s="56"/>
      <c r="AP477" s="56"/>
      <c r="AQ477" s="56"/>
      <c r="AR477" s="56"/>
    </row>
    <row r="478">
      <c r="A478" s="65"/>
      <c r="B478" s="65"/>
      <c r="C478" s="65"/>
      <c r="D478" s="65"/>
      <c r="E478" s="65"/>
      <c r="F478" s="65"/>
      <c r="G478" s="65"/>
      <c r="H478" s="65"/>
      <c r="I478" s="69"/>
      <c r="J478" s="70"/>
      <c r="K478" s="70"/>
      <c r="L478" s="69"/>
      <c r="M478" s="70"/>
      <c r="N478" s="70"/>
      <c r="O478" s="70"/>
      <c r="P478" s="70"/>
      <c r="Q478" s="70"/>
      <c r="R478" s="70"/>
      <c r="S478" s="70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65"/>
      <c r="AO478" s="56"/>
      <c r="AP478" s="56"/>
      <c r="AQ478" s="56"/>
      <c r="AR478" s="56"/>
    </row>
    <row r="479">
      <c r="A479" s="65"/>
      <c r="B479" s="65"/>
      <c r="C479" s="65"/>
      <c r="D479" s="65"/>
      <c r="E479" s="65"/>
      <c r="F479" s="65"/>
      <c r="G479" s="65"/>
      <c r="H479" s="65"/>
      <c r="I479" s="69"/>
      <c r="J479" s="70"/>
      <c r="K479" s="70"/>
      <c r="L479" s="69"/>
      <c r="M479" s="70"/>
      <c r="N479" s="70"/>
      <c r="O479" s="70"/>
      <c r="P479" s="70"/>
      <c r="Q479" s="70"/>
      <c r="R479" s="70"/>
      <c r="S479" s="70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65"/>
      <c r="AO479" s="56"/>
      <c r="AP479" s="56"/>
      <c r="AQ479" s="56"/>
      <c r="AR479" s="56"/>
    </row>
    <row r="480">
      <c r="A480" s="65"/>
      <c r="B480" s="65"/>
      <c r="C480" s="65"/>
      <c r="D480" s="65"/>
      <c r="E480" s="65"/>
      <c r="F480" s="65"/>
      <c r="G480" s="65"/>
      <c r="H480" s="65"/>
      <c r="I480" s="69"/>
      <c r="J480" s="70"/>
      <c r="K480" s="70"/>
      <c r="L480" s="69"/>
      <c r="M480" s="70"/>
      <c r="N480" s="70"/>
      <c r="O480" s="70"/>
      <c r="P480" s="70"/>
      <c r="Q480" s="70"/>
      <c r="R480" s="70"/>
      <c r="S480" s="70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65"/>
      <c r="AO480" s="56"/>
      <c r="AP480" s="56"/>
      <c r="AQ480" s="56"/>
      <c r="AR480" s="56"/>
    </row>
    <row r="481">
      <c r="A481" s="65"/>
      <c r="B481" s="65"/>
      <c r="C481" s="65"/>
      <c r="D481" s="65"/>
      <c r="E481" s="65"/>
      <c r="F481" s="65"/>
      <c r="G481" s="65"/>
      <c r="H481" s="65"/>
      <c r="I481" s="69"/>
      <c r="J481" s="70"/>
      <c r="K481" s="70"/>
      <c r="L481" s="69"/>
      <c r="M481" s="70"/>
      <c r="N481" s="70"/>
      <c r="O481" s="70"/>
      <c r="P481" s="70"/>
      <c r="Q481" s="70"/>
      <c r="R481" s="70"/>
      <c r="S481" s="70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65"/>
      <c r="AO481" s="56"/>
      <c r="AP481" s="56"/>
      <c r="AQ481" s="56"/>
      <c r="AR481" s="56"/>
    </row>
    <row r="482">
      <c r="A482" s="65"/>
      <c r="B482" s="65"/>
      <c r="C482" s="65"/>
      <c r="D482" s="65"/>
      <c r="E482" s="65"/>
      <c r="F482" s="65"/>
      <c r="G482" s="65"/>
      <c r="H482" s="65"/>
      <c r="I482" s="69"/>
      <c r="J482" s="70"/>
      <c r="K482" s="70"/>
      <c r="L482" s="69"/>
      <c r="M482" s="70"/>
      <c r="N482" s="70"/>
      <c r="O482" s="70"/>
      <c r="P482" s="70"/>
      <c r="Q482" s="70"/>
      <c r="R482" s="70"/>
      <c r="S482" s="70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65"/>
      <c r="AO482" s="56"/>
      <c r="AP482" s="56"/>
      <c r="AQ482" s="56"/>
      <c r="AR482" s="56"/>
    </row>
    <row r="483">
      <c r="A483" s="65"/>
      <c r="B483" s="65"/>
      <c r="C483" s="65"/>
      <c r="D483" s="65"/>
      <c r="E483" s="65"/>
      <c r="F483" s="65"/>
      <c r="G483" s="65"/>
      <c r="H483" s="65"/>
      <c r="I483" s="69"/>
      <c r="J483" s="70"/>
      <c r="K483" s="70"/>
      <c r="L483" s="69"/>
      <c r="M483" s="70"/>
      <c r="N483" s="70"/>
      <c r="O483" s="70"/>
      <c r="P483" s="70"/>
      <c r="Q483" s="70"/>
      <c r="R483" s="70"/>
      <c r="S483" s="70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65"/>
      <c r="AO483" s="56"/>
      <c r="AP483" s="56"/>
      <c r="AQ483" s="56"/>
      <c r="AR483" s="56"/>
    </row>
    <row r="484">
      <c r="A484" s="65"/>
      <c r="B484" s="65"/>
      <c r="C484" s="65"/>
      <c r="D484" s="65"/>
      <c r="E484" s="65"/>
      <c r="F484" s="65"/>
      <c r="G484" s="65"/>
      <c r="H484" s="65"/>
      <c r="I484" s="69"/>
      <c r="J484" s="70"/>
      <c r="K484" s="70"/>
      <c r="L484" s="69"/>
      <c r="M484" s="70"/>
      <c r="N484" s="70"/>
      <c r="O484" s="70"/>
      <c r="P484" s="70"/>
      <c r="Q484" s="70"/>
      <c r="R484" s="70"/>
      <c r="S484" s="70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65"/>
      <c r="AO484" s="56"/>
      <c r="AP484" s="56"/>
      <c r="AQ484" s="56"/>
      <c r="AR484" s="56"/>
    </row>
    <row r="485">
      <c r="A485" s="65"/>
      <c r="B485" s="65"/>
      <c r="C485" s="65"/>
      <c r="D485" s="65"/>
      <c r="E485" s="65"/>
      <c r="F485" s="65"/>
      <c r="G485" s="65"/>
      <c r="H485" s="65"/>
      <c r="I485" s="69"/>
      <c r="J485" s="70"/>
      <c r="K485" s="70"/>
      <c r="L485" s="69"/>
      <c r="M485" s="70"/>
      <c r="N485" s="70"/>
      <c r="O485" s="70"/>
      <c r="P485" s="70"/>
      <c r="Q485" s="70"/>
      <c r="R485" s="70"/>
      <c r="S485" s="70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65"/>
      <c r="AO485" s="56"/>
      <c r="AP485" s="56"/>
      <c r="AQ485" s="56"/>
      <c r="AR485" s="56"/>
    </row>
    <row r="486">
      <c r="A486" s="65"/>
      <c r="B486" s="65"/>
      <c r="C486" s="65"/>
      <c r="D486" s="65"/>
      <c r="E486" s="65"/>
      <c r="F486" s="65"/>
      <c r="G486" s="65"/>
      <c r="H486" s="65"/>
      <c r="I486" s="69"/>
      <c r="J486" s="70"/>
      <c r="K486" s="70"/>
      <c r="L486" s="69"/>
      <c r="M486" s="70"/>
      <c r="N486" s="70"/>
      <c r="O486" s="70"/>
      <c r="P486" s="70"/>
      <c r="Q486" s="70"/>
      <c r="R486" s="70"/>
      <c r="S486" s="70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65"/>
      <c r="AO486" s="56"/>
      <c r="AP486" s="56"/>
      <c r="AQ486" s="56"/>
      <c r="AR486" s="56"/>
    </row>
    <row r="487">
      <c r="A487" s="65"/>
      <c r="B487" s="65"/>
      <c r="C487" s="65"/>
      <c r="D487" s="65"/>
      <c r="E487" s="65"/>
      <c r="F487" s="65"/>
      <c r="G487" s="65"/>
      <c r="H487" s="65"/>
      <c r="I487" s="69"/>
      <c r="J487" s="70"/>
      <c r="K487" s="70"/>
      <c r="L487" s="69"/>
      <c r="M487" s="70"/>
      <c r="N487" s="70"/>
      <c r="O487" s="70"/>
      <c r="P487" s="70"/>
      <c r="Q487" s="70"/>
      <c r="R487" s="70"/>
      <c r="S487" s="70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65"/>
      <c r="AO487" s="56"/>
      <c r="AP487" s="56"/>
      <c r="AQ487" s="56"/>
      <c r="AR487" s="56"/>
    </row>
    <row r="488">
      <c r="A488" s="65"/>
      <c r="B488" s="65"/>
      <c r="C488" s="65"/>
      <c r="D488" s="65"/>
      <c r="E488" s="65"/>
      <c r="F488" s="65"/>
      <c r="G488" s="65"/>
      <c r="H488" s="65"/>
      <c r="I488" s="69"/>
      <c r="J488" s="70"/>
      <c r="K488" s="70"/>
      <c r="L488" s="69"/>
      <c r="M488" s="70"/>
      <c r="N488" s="70"/>
      <c r="O488" s="70"/>
      <c r="P488" s="70"/>
      <c r="Q488" s="70"/>
      <c r="R488" s="70"/>
      <c r="S488" s="70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65"/>
      <c r="AO488" s="56"/>
      <c r="AP488" s="56"/>
      <c r="AQ488" s="56"/>
      <c r="AR488" s="56"/>
    </row>
    <row r="489">
      <c r="A489" s="65"/>
      <c r="B489" s="65"/>
      <c r="C489" s="65"/>
      <c r="D489" s="65"/>
      <c r="E489" s="65"/>
      <c r="F489" s="65"/>
      <c r="G489" s="65"/>
      <c r="H489" s="65"/>
      <c r="I489" s="69"/>
      <c r="J489" s="70"/>
      <c r="K489" s="70"/>
      <c r="L489" s="69"/>
      <c r="M489" s="70"/>
      <c r="N489" s="70"/>
      <c r="O489" s="70"/>
      <c r="P489" s="70"/>
      <c r="Q489" s="70"/>
      <c r="R489" s="70"/>
      <c r="S489" s="70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65"/>
      <c r="AO489" s="56"/>
      <c r="AP489" s="56"/>
      <c r="AQ489" s="56"/>
      <c r="AR489" s="56"/>
    </row>
    <row r="490">
      <c r="A490" s="65"/>
      <c r="B490" s="65"/>
      <c r="C490" s="65"/>
      <c r="D490" s="65"/>
      <c r="E490" s="65"/>
      <c r="F490" s="65"/>
      <c r="G490" s="65"/>
      <c r="H490" s="65"/>
      <c r="I490" s="69"/>
      <c r="J490" s="70"/>
      <c r="K490" s="70"/>
      <c r="L490" s="69"/>
      <c r="M490" s="70"/>
      <c r="N490" s="70"/>
      <c r="O490" s="70"/>
      <c r="P490" s="70"/>
      <c r="Q490" s="70"/>
      <c r="R490" s="70"/>
      <c r="S490" s="70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65"/>
      <c r="AO490" s="56"/>
      <c r="AP490" s="56"/>
      <c r="AQ490" s="56"/>
      <c r="AR490" s="56"/>
    </row>
    <row r="491">
      <c r="A491" s="65"/>
      <c r="B491" s="65"/>
      <c r="C491" s="65"/>
      <c r="D491" s="65"/>
      <c r="E491" s="65"/>
      <c r="F491" s="65"/>
      <c r="G491" s="65"/>
      <c r="H491" s="65"/>
      <c r="I491" s="69"/>
      <c r="J491" s="70"/>
      <c r="K491" s="70"/>
      <c r="L491" s="69"/>
      <c r="M491" s="70"/>
      <c r="N491" s="70"/>
      <c r="O491" s="70"/>
      <c r="P491" s="70"/>
      <c r="Q491" s="70"/>
      <c r="R491" s="70"/>
      <c r="S491" s="70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65"/>
      <c r="AO491" s="56"/>
      <c r="AP491" s="56"/>
      <c r="AQ491" s="56"/>
      <c r="AR491" s="56"/>
    </row>
    <row r="492">
      <c r="A492" s="65"/>
      <c r="B492" s="65"/>
      <c r="C492" s="65"/>
      <c r="D492" s="65"/>
      <c r="E492" s="65"/>
      <c r="F492" s="65"/>
      <c r="G492" s="65"/>
      <c r="H492" s="65"/>
      <c r="I492" s="69"/>
      <c r="J492" s="70"/>
      <c r="K492" s="70"/>
      <c r="L492" s="69"/>
      <c r="M492" s="70"/>
      <c r="N492" s="70"/>
      <c r="O492" s="70"/>
      <c r="P492" s="70"/>
      <c r="Q492" s="70"/>
      <c r="R492" s="70"/>
      <c r="S492" s="70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65"/>
      <c r="AO492" s="56"/>
      <c r="AP492" s="56"/>
      <c r="AQ492" s="56"/>
      <c r="AR492" s="56"/>
    </row>
    <row r="493">
      <c r="A493" s="65"/>
      <c r="B493" s="65"/>
      <c r="C493" s="65"/>
      <c r="D493" s="65"/>
      <c r="E493" s="65"/>
      <c r="F493" s="65"/>
      <c r="G493" s="65"/>
      <c r="H493" s="65"/>
      <c r="I493" s="69"/>
      <c r="J493" s="70"/>
      <c r="K493" s="70"/>
      <c r="L493" s="69"/>
      <c r="M493" s="70"/>
      <c r="N493" s="70"/>
      <c r="O493" s="70"/>
      <c r="P493" s="70"/>
      <c r="Q493" s="70"/>
      <c r="R493" s="70"/>
      <c r="S493" s="70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65"/>
      <c r="AO493" s="56"/>
      <c r="AP493" s="56"/>
      <c r="AQ493" s="56"/>
      <c r="AR493" s="56"/>
    </row>
    <row r="494">
      <c r="A494" s="65"/>
      <c r="B494" s="65"/>
      <c r="C494" s="65"/>
      <c r="D494" s="65"/>
      <c r="E494" s="65"/>
      <c r="F494" s="65"/>
      <c r="G494" s="65"/>
      <c r="H494" s="65"/>
      <c r="I494" s="69"/>
      <c r="J494" s="70"/>
      <c r="K494" s="70"/>
      <c r="L494" s="69"/>
      <c r="M494" s="70"/>
      <c r="N494" s="70"/>
      <c r="O494" s="70"/>
      <c r="P494" s="70"/>
      <c r="Q494" s="70"/>
      <c r="R494" s="70"/>
      <c r="S494" s="70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65"/>
      <c r="AO494" s="56"/>
      <c r="AP494" s="56"/>
      <c r="AQ494" s="56"/>
      <c r="AR494" s="56"/>
    </row>
    <row r="495">
      <c r="A495" s="65"/>
      <c r="B495" s="65"/>
      <c r="C495" s="65"/>
      <c r="D495" s="65"/>
      <c r="E495" s="65"/>
      <c r="F495" s="65"/>
      <c r="G495" s="65"/>
      <c r="H495" s="65"/>
      <c r="I495" s="69"/>
      <c r="J495" s="70"/>
      <c r="K495" s="70"/>
      <c r="L495" s="69"/>
      <c r="M495" s="70"/>
      <c r="N495" s="70"/>
      <c r="O495" s="70"/>
      <c r="P495" s="70"/>
      <c r="Q495" s="70"/>
      <c r="R495" s="70"/>
      <c r="S495" s="70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65"/>
      <c r="AO495" s="56"/>
      <c r="AP495" s="56"/>
      <c r="AQ495" s="56"/>
      <c r="AR495" s="56"/>
    </row>
    <row r="496">
      <c r="A496" s="65"/>
      <c r="B496" s="65"/>
      <c r="C496" s="65"/>
      <c r="D496" s="65"/>
      <c r="E496" s="65"/>
      <c r="F496" s="65"/>
      <c r="G496" s="65"/>
      <c r="H496" s="65"/>
      <c r="I496" s="69"/>
      <c r="J496" s="70"/>
      <c r="K496" s="70"/>
      <c r="L496" s="69"/>
      <c r="M496" s="70"/>
      <c r="N496" s="70"/>
      <c r="O496" s="70"/>
      <c r="P496" s="70"/>
      <c r="Q496" s="70"/>
      <c r="R496" s="70"/>
      <c r="S496" s="70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65"/>
      <c r="AO496" s="56"/>
      <c r="AP496" s="56"/>
      <c r="AQ496" s="56"/>
      <c r="AR496" s="56"/>
    </row>
    <row r="497">
      <c r="A497" s="65"/>
      <c r="B497" s="65"/>
      <c r="C497" s="65"/>
      <c r="D497" s="65"/>
      <c r="E497" s="65"/>
      <c r="F497" s="65"/>
      <c r="G497" s="65"/>
      <c r="H497" s="65"/>
      <c r="I497" s="69"/>
      <c r="J497" s="70"/>
      <c r="K497" s="70"/>
      <c r="L497" s="69"/>
      <c r="M497" s="70"/>
      <c r="N497" s="70"/>
      <c r="O497" s="70"/>
      <c r="P497" s="70"/>
      <c r="Q497" s="70"/>
      <c r="R497" s="70"/>
      <c r="S497" s="70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65"/>
      <c r="AO497" s="56"/>
      <c r="AP497" s="56"/>
      <c r="AQ497" s="56"/>
      <c r="AR497" s="56"/>
    </row>
    <row r="498">
      <c r="A498" s="65"/>
      <c r="B498" s="65"/>
      <c r="C498" s="65"/>
      <c r="D498" s="65"/>
      <c r="E498" s="65"/>
      <c r="F498" s="65"/>
      <c r="G498" s="65"/>
      <c r="H498" s="65"/>
      <c r="I498" s="69"/>
      <c r="J498" s="70"/>
      <c r="K498" s="70"/>
      <c r="L498" s="69"/>
      <c r="M498" s="70"/>
      <c r="N498" s="70"/>
      <c r="O498" s="70"/>
      <c r="P498" s="70"/>
      <c r="Q498" s="70"/>
      <c r="R498" s="70"/>
      <c r="S498" s="70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65"/>
      <c r="AO498" s="56"/>
      <c r="AP498" s="56"/>
      <c r="AQ498" s="56"/>
      <c r="AR498" s="56"/>
    </row>
    <row r="499">
      <c r="A499" s="65"/>
      <c r="B499" s="65"/>
      <c r="C499" s="65"/>
      <c r="D499" s="65"/>
      <c r="E499" s="65"/>
      <c r="F499" s="65"/>
      <c r="G499" s="65"/>
      <c r="H499" s="65"/>
      <c r="I499" s="69"/>
      <c r="J499" s="70"/>
      <c r="K499" s="70"/>
      <c r="L499" s="69"/>
      <c r="M499" s="70"/>
      <c r="N499" s="70"/>
      <c r="O499" s="70"/>
      <c r="P499" s="70"/>
      <c r="Q499" s="70"/>
      <c r="R499" s="70"/>
      <c r="S499" s="70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65"/>
      <c r="AO499" s="56"/>
      <c r="AP499" s="56"/>
      <c r="AQ499" s="56"/>
      <c r="AR499" s="56"/>
    </row>
    <row r="500">
      <c r="A500" s="65"/>
      <c r="B500" s="65"/>
      <c r="C500" s="65"/>
      <c r="D500" s="65"/>
      <c r="E500" s="65"/>
      <c r="F500" s="65"/>
      <c r="G500" s="65"/>
      <c r="H500" s="65"/>
      <c r="I500" s="69"/>
      <c r="J500" s="70"/>
      <c r="K500" s="70"/>
      <c r="L500" s="69"/>
      <c r="M500" s="70"/>
      <c r="N500" s="70"/>
      <c r="O500" s="70"/>
      <c r="P500" s="70"/>
      <c r="Q500" s="70"/>
      <c r="R500" s="70"/>
      <c r="S500" s="70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65"/>
      <c r="AO500" s="56"/>
      <c r="AP500" s="56"/>
      <c r="AQ500" s="56"/>
      <c r="AR500" s="56"/>
    </row>
    <row r="501">
      <c r="A501" s="65"/>
      <c r="B501" s="65"/>
      <c r="C501" s="65"/>
      <c r="D501" s="65"/>
      <c r="E501" s="65"/>
      <c r="F501" s="65"/>
      <c r="G501" s="65"/>
      <c r="H501" s="65"/>
      <c r="I501" s="69"/>
      <c r="J501" s="70"/>
      <c r="K501" s="70"/>
      <c r="L501" s="69"/>
      <c r="M501" s="70"/>
      <c r="N501" s="70"/>
      <c r="O501" s="70"/>
      <c r="P501" s="70"/>
      <c r="Q501" s="70"/>
      <c r="R501" s="70"/>
      <c r="S501" s="70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65"/>
      <c r="AO501" s="56"/>
      <c r="AP501" s="56"/>
      <c r="AQ501" s="56"/>
      <c r="AR501" s="56"/>
    </row>
    <row r="502">
      <c r="A502" s="65"/>
      <c r="B502" s="65"/>
      <c r="C502" s="65"/>
      <c r="D502" s="65"/>
      <c r="E502" s="65"/>
      <c r="F502" s="65"/>
      <c r="G502" s="65"/>
      <c r="H502" s="65"/>
      <c r="I502" s="69"/>
      <c r="J502" s="70"/>
      <c r="K502" s="70"/>
      <c r="L502" s="69"/>
      <c r="M502" s="70"/>
      <c r="N502" s="70"/>
      <c r="O502" s="70"/>
      <c r="P502" s="70"/>
      <c r="Q502" s="70"/>
      <c r="R502" s="70"/>
      <c r="S502" s="70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65"/>
      <c r="AO502" s="56"/>
      <c r="AP502" s="56"/>
      <c r="AQ502" s="56"/>
      <c r="AR502" s="56"/>
    </row>
    <row r="503">
      <c r="A503" s="65"/>
      <c r="B503" s="65"/>
      <c r="C503" s="65"/>
      <c r="D503" s="65"/>
      <c r="E503" s="65"/>
      <c r="F503" s="65"/>
      <c r="G503" s="65"/>
      <c r="H503" s="65"/>
      <c r="I503" s="69"/>
      <c r="J503" s="70"/>
      <c r="K503" s="70"/>
      <c r="L503" s="69"/>
      <c r="M503" s="70"/>
      <c r="N503" s="70"/>
      <c r="O503" s="70"/>
      <c r="P503" s="70"/>
      <c r="Q503" s="70"/>
      <c r="R503" s="70"/>
      <c r="S503" s="70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65"/>
      <c r="AO503" s="56"/>
      <c r="AP503" s="56"/>
      <c r="AQ503" s="56"/>
      <c r="AR503" s="56"/>
    </row>
    <row r="504">
      <c r="A504" s="65"/>
      <c r="B504" s="65"/>
      <c r="C504" s="65"/>
      <c r="D504" s="65"/>
      <c r="E504" s="65"/>
      <c r="F504" s="65"/>
      <c r="G504" s="65"/>
      <c r="H504" s="65"/>
      <c r="I504" s="69"/>
      <c r="J504" s="70"/>
      <c r="K504" s="70"/>
      <c r="L504" s="69"/>
      <c r="M504" s="70"/>
      <c r="N504" s="70"/>
      <c r="O504" s="70"/>
      <c r="P504" s="70"/>
      <c r="Q504" s="70"/>
      <c r="R504" s="70"/>
      <c r="S504" s="70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65"/>
      <c r="AO504" s="56"/>
      <c r="AP504" s="56"/>
      <c r="AQ504" s="56"/>
      <c r="AR504" s="56"/>
    </row>
    <row r="505">
      <c r="A505" s="65"/>
      <c r="B505" s="65"/>
      <c r="C505" s="65"/>
      <c r="D505" s="65"/>
      <c r="E505" s="65"/>
      <c r="F505" s="65"/>
      <c r="G505" s="65"/>
      <c r="H505" s="65"/>
      <c r="I505" s="69"/>
      <c r="J505" s="70"/>
      <c r="K505" s="70"/>
      <c r="L505" s="69"/>
      <c r="M505" s="70"/>
      <c r="N505" s="70"/>
      <c r="O505" s="70"/>
      <c r="P505" s="70"/>
      <c r="Q505" s="70"/>
      <c r="R505" s="70"/>
      <c r="S505" s="70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65"/>
      <c r="AO505" s="56"/>
      <c r="AP505" s="56"/>
      <c r="AQ505" s="56"/>
      <c r="AR505" s="56"/>
    </row>
    <row r="506">
      <c r="A506" s="65"/>
      <c r="B506" s="65"/>
      <c r="C506" s="65"/>
      <c r="D506" s="65"/>
      <c r="E506" s="65"/>
      <c r="F506" s="65"/>
      <c r="G506" s="65"/>
      <c r="H506" s="65"/>
      <c r="I506" s="69"/>
      <c r="J506" s="70"/>
      <c r="K506" s="70"/>
      <c r="L506" s="69"/>
      <c r="M506" s="70"/>
      <c r="N506" s="70"/>
      <c r="O506" s="70"/>
      <c r="P506" s="70"/>
      <c r="Q506" s="70"/>
      <c r="R506" s="70"/>
      <c r="S506" s="70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65"/>
      <c r="AO506" s="56"/>
      <c r="AP506" s="56"/>
      <c r="AQ506" s="56"/>
      <c r="AR506" s="56"/>
    </row>
    <row r="507">
      <c r="A507" s="65"/>
      <c r="B507" s="65"/>
      <c r="C507" s="65"/>
      <c r="D507" s="65"/>
      <c r="E507" s="65"/>
      <c r="F507" s="65"/>
      <c r="G507" s="65"/>
      <c r="H507" s="65"/>
      <c r="I507" s="69"/>
      <c r="J507" s="70"/>
      <c r="K507" s="70"/>
      <c r="L507" s="69"/>
      <c r="M507" s="70"/>
      <c r="N507" s="70"/>
      <c r="O507" s="70"/>
      <c r="P507" s="70"/>
      <c r="Q507" s="70"/>
      <c r="R507" s="70"/>
      <c r="S507" s="70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65"/>
      <c r="AO507" s="56"/>
      <c r="AP507" s="56"/>
      <c r="AQ507" s="56"/>
      <c r="AR507" s="56"/>
    </row>
    <row r="508">
      <c r="A508" s="65"/>
      <c r="B508" s="65"/>
      <c r="C508" s="65"/>
      <c r="D508" s="65"/>
      <c r="E508" s="65"/>
      <c r="F508" s="65"/>
      <c r="G508" s="65"/>
      <c r="H508" s="65"/>
      <c r="I508" s="69"/>
      <c r="J508" s="70"/>
      <c r="K508" s="70"/>
      <c r="L508" s="69"/>
      <c r="M508" s="70"/>
      <c r="N508" s="70"/>
      <c r="O508" s="70"/>
      <c r="P508" s="70"/>
      <c r="Q508" s="70"/>
      <c r="R508" s="70"/>
      <c r="S508" s="70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65"/>
      <c r="AO508" s="56"/>
      <c r="AP508" s="56"/>
      <c r="AQ508" s="56"/>
      <c r="AR508" s="56"/>
    </row>
    <row r="509">
      <c r="A509" s="65"/>
      <c r="B509" s="65"/>
      <c r="C509" s="65"/>
      <c r="D509" s="65"/>
      <c r="E509" s="65"/>
      <c r="F509" s="65"/>
      <c r="G509" s="65"/>
      <c r="H509" s="65"/>
      <c r="I509" s="69"/>
      <c r="J509" s="70"/>
      <c r="K509" s="70"/>
      <c r="L509" s="69"/>
      <c r="M509" s="70"/>
      <c r="N509" s="70"/>
      <c r="O509" s="70"/>
      <c r="P509" s="70"/>
      <c r="Q509" s="70"/>
      <c r="R509" s="70"/>
      <c r="S509" s="70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65"/>
      <c r="AO509" s="56"/>
      <c r="AP509" s="56"/>
      <c r="AQ509" s="56"/>
      <c r="AR509" s="56"/>
    </row>
    <row r="510">
      <c r="A510" s="65"/>
      <c r="B510" s="65"/>
      <c r="C510" s="65"/>
      <c r="D510" s="65"/>
      <c r="E510" s="65"/>
      <c r="F510" s="65"/>
      <c r="G510" s="65"/>
      <c r="H510" s="65"/>
      <c r="I510" s="69"/>
      <c r="J510" s="70"/>
      <c r="K510" s="70"/>
      <c r="L510" s="69"/>
      <c r="M510" s="70"/>
      <c r="N510" s="70"/>
      <c r="O510" s="70"/>
      <c r="P510" s="70"/>
      <c r="Q510" s="70"/>
      <c r="R510" s="70"/>
      <c r="S510" s="70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65"/>
      <c r="AO510" s="56"/>
      <c r="AP510" s="56"/>
      <c r="AQ510" s="56"/>
      <c r="AR510" s="56"/>
    </row>
    <row r="511">
      <c r="A511" s="65"/>
      <c r="B511" s="65"/>
      <c r="C511" s="65"/>
      <c r="D511" s="65"/>
      <c r="E511" s="65"/>
      <c r="F511" s="65"/>
      <c r="G511" s="65"/>
      <c r="H511" s="65"/>
      <c r="I511" s="69"/>
      <c r="J511" s="70"/>
      <c r="K511" s="70"/>
      <c r="L511" s="69"/>
      <c r="M511" s="70"/>
      <c r="N511" s="70"/>
      <c r="O511" s="70"/>
      <c r="P511" s="70"/>
      <c r="Q511" s="70"/>
      <c r="R511" s="70"/>
      <c r="S511" s="70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65"/>
      <c r="AO511" s="56"/>
      <c r="AP511" s="56"/>
      <c r="AQ511" s="56"/>
      <c r="AR511" s="56"/>
    </row>
    <row r="512">
      <c r="A512" s="65"/>
      <c r="B512" s="65"/>
      <c r="C512" s="65"/>
      <c r="D512" s="65"/>
      <c r="E512" s="65"/>
      <c r="F512" s="65"/>
      <c r="G512" s="65"/>
      <c r="H512" s="65"/>
      <c r="I512" s="69"/>
      <c r="J512" s="70"/>
      <c r="K512" s="70"/>
      <c r="L512" s="69"/>
      <c r="M512" s="70"/>
      <c r="N512" s="70"/>
      <c r="O512" s="70"/>
      <c r="P512" s="70"/>
      <c r="Q512" s="70"/>
      <c r="R512" s="70"/>
      <c r="S512" s="70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65"/>
      <c r="AO512" s="56"/>
      <c r="AP512" s="56"/>
      <c r="AQ512" s="56"/>
      <c r="AR512" s="56"/>
    </row>
    <row r="513">
      <c r="A513" s="65"/>
      <c r="B513" s="65"/>
      <c r="C513" s="65"/>
      <c r="D513" s="65"/>
      <c r="E513" s="65"/>
      <c r="F513" s="65"/>
      <c r="G513" s="65"/>
      <c r="H513" s="65"/>
      <c r="I513" s="69"/>
      <c r="J513" s="70"/>
      <c r="K513" s="70"/>
      <c r="L513" s="69"/>
      <c r="M513" s="70"/>
      <c r="N513" s="70"/>
      <c r="O513" s="70"/>
      <c r="P513" s="70"/>
      <c r="Q513" s="70"/>
      <c r="R513" s="70"/>
      <c r="S513" s="70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65"/>
      <c r="AO513" s="56"/>
      <c r="AP513" s="56"/>
      <c r="AQ513" s="56"/>
      <c r="AR513" s="56"/>
    </row>
    <row r="514">
      <c r="A514" s="65"/>
      <c r="B514" s="65"/>
      <c r="C514" s="65"/>
      <c r="D514" s="65"/>
      <c r="E514" s="65"/>
      <c r="F514" s="65"/>
      <c r="G514" s="65"/>
      <c r="H514" s="65"/>
      <c r="I514" s="69"/>
      <c r="J514" s="70"/>
      <c r="K514" s="70"/>
      <c r="L514" s="69"/>
      <c r="M514" s="70"/>
      <c r="N514" s="70"/>
      <c r="O514" s="70"/>
      <c r="P514" s="70"/>
      <c r="Q514" s="70"/>
      <c r="R514" s="70"/>
      <c r="S514" s="70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65"/>
      <c r="AO514" s="56"/>
      <c r="AP514" s="56"/>
      <c r="AQ514" s="56"/>
      <c r="AR514" s="56"/>
    </row>
    <row r="515">
      <c r="A515" s="65"/>
      <c r="B515" s="65"/>
      <c r="C515" s="65"/>
      <c r="D515" s="65"/>
      <c r="E515" s="65"/>
      <c r="F515" s="65"/>
      <c r="G515" s="65"/>
      <c r="H515" s="65"/>
      <c r="I515" s="69"/>
      <c r="J515" s="70"/>
      <c r="K515" s="70"/>
      <c r="L515" s="69"/>
      <c r="M515" s="70"/>
      <c r="N515" s="70"/>
      <c r="O515" s="70"/>
      <c r="P515" s="70"/>
      <c r="Q515" s="70"/>
      <c r="R515" s="70"/>
      <c r="S515" s="70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65"/>
      <c r="AO515" s="56"/>
      <c r="AP515" s="56"/>
      <c r="AQ515" s="56"/>
      <c r="AR515" s="56"/>
    </row>
    <row r="516">
      <c r="A516" s="65"/>
      <c r="B516" s="65"/>
      <c r="C516" s="65"/>
      <c r="D516" s="65"/>
      <c r="E516" s="65"/>
      <c r="F516" s="65"/>
      <c r="G516" s="65"/>
      <c r="H516" s="65"/>
      <c r="I516" s="69"/>
      <c r="J516" s="70"/>
      <c r="K516" s="70"/>
      <c r="L516" s="69"/>
      <c r="M516" s="70"/>
      <c r="N516" s="70"/>
      <c r="O516" s="70"/>
      <c r="P516" s="70"/>
      <c r="Q516" s="70"/>
      <c r="R516" s="70"/>
      <c r="S516" s="70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65"/>
      <c r="AO516" s="56"/>
      <c r="AP516" s="56"/>
      <c r="AQ516" s="56"/>
      <c r="AR516" s="56"/>
    </row>
    <row r="517">
      <c r="A517" s="65"/>
      <c r="B517" s="65"/>
      <c r="C517" s="65"/>
      <c r="D517" s="65"/>
      <c r="E517" s="65"/>
      <c r="F517" s="65"/>
      <c r="G517" s="65"/>
      <c r="H517" s="65"/>
      <c r="I517" s="69"/>
      <c r="J517" s="70"/>
      <c r="K517" s="70"/>
      <c r="L517" s="69"/>
      <c r="M517" s="70"/>
      <c r="N517" s="70"/>
      <c r="O517" s="70"/>
      <c r="P517" s="70"/>
      <c r="Q517" s="70"/>
      <c r="R517" s="70"/>
      <c r="S517" s="70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65"/>
      <c r="AO517" s="56"/>
      <c r="AP517" s="56"/>
      <c r="AQ517" s="56"/>
      <c r="AR517" s="56"/>
    </row>
    <row r="518">
      <c r="A518" s="65"/>
      <c r="B518" s="65"/>
      <c r="C518" s="65"/>
      <c r="D518" s="65"/>
      <c r="E518" s="65"/>
      <c r="F518" s="65"/>
      <c r="G518" s="65"/>
      <c r="H518" s="65"/>
      <c r="I518" s="69"/>
      <c r="J518" s="70"/>
      <c r="K518" s="70"/>
      <c r="L518" s="69"/>
      <c r="M518" s="70"/>
      <c r="N518" s="70"/>
      <c r="O518" s="70"/>
      <c r="P518" s="70"/>
      <c r="Q518" s="70"/>
      <c r="R518" s="70"/>
      <c r="S518" s="70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65"/>
      <c r="AO518" s="56"/>
      <c r="AP518" s="56"/>
      <c r="AQ518" s="56"/>
      <c r="AR518" s="56"/>
    </row>
    <row r="519">
      <c r="A519" s="65"/>
      <c r="B519" s="65"/>
      <c r="C519" s="65"/>
      <c r="D519" s="65"/>
      <c r="E519" s="65"/>
      <c r="F519" s="65"/>
      <c r="G519" s="65"/>
      <c r="H519" s="65"/>
      <c r="I519" s="69"/>
      <c r="J519" s="70"/>
      <c r="K519" s="70"/>
      <c r="L519" s="69"/>
      <c r="M519" s="70"/>
      <c r="N519" s="70"/>
      <c r="O519" s="70"/>
      <c r="P519" s="70"/>
      <c r="Q519" s="70"/>
      <c r="R519" s="70"/>
      <c r="S519" s="70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65"/>
      <c r="AO519" s="56"/>
      <c r="AP519" s="56"/>
      <c r="AQ519" s="56"/>
      <c r="AR519" s="56"/>
    </row>
    <row r="520">
      <c r="A520" s="65"/>
      <c r="B520" s="65"/>
      <c r="C520" s="65"/>
      <c r="D520" s="65"/>
      <c r="E520" s="65"/>
      <c r="F520" s="65"/>
      <c r="G520" s="65"/>
      <c r="H520" s="65"/>
      <c r="I520" s="69"/>
      <c r="J520" s="70"/>
      <c r="K520" s="70"/>
      <c r="L520" s="69"/>
      <c r="M520" s="70"/>
      <c r="N520" s="70"/>
      <c r="O520" s="70"/>
      <c r="P520" s="70"/>
      <c r="Q520" s="70"/>
      <c r="R520" s="70"/>
      <c r="S520" s="70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65"/>
      <c r="AO520" s="56"/>
      <c r="AP520" s="56"/>
      <c r="AQ520" s="56"/>
      <c r="AR520" s="56"/>
    </row>
    <row r="521">
      <c r="A521" s="65"/>
      <c r="B521" s="65"/>
      <c r="C521" s="65"/>
      <c r="D521" s="65"/>
      <c r="E521" s="65"/>
      <c r="F521" s="65"/>
      <c r="G521" s="65"/>
      <c r="H521" s="65"/>
      <c r="I521" s="69"/>
      <c r="J521" s="70"/>
      <c r="K521" s="70"/>
      <c r="L521" s="69"/>
      <c r="M521" s="70"/>
      <c r="N521" s="70"/>
      <c r="O521" s="70"/>
      <c r="P521" s="70"/>
      <c r="Q521" s="70"/>
      <c r="R521" s="70"/>
      <c r="S521" s="70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65"/>
      <c r="AO521" s="56"/>
      <c r="AP521" s="56"/>
      <c r="AQ521" s="56"/>
      <c r="AR521" s="56"/>
    </row>
    <row r="522">
      <c r="A522" s="65"/>
      <c r="B522" s="65"/>
      <c r="C522" s="65"/>
      <c r="D522" s="65"/>
      <c r="E522" s="65"/>
      <c r="F522" s="65"/>
      <c r="G522" s="65"/>
      <c r="H522" s="65"/>
      <c r="I522" s="69"/>
      <c r="J522" s="70"/>
      <c r="K522" s="70"/>
      <c r="L522" s="69"/>
      <c r="M522" s="70"/>
      <c r="N522" s="70"/>
      <c r="O522" s="70"/>
      <c r="P522" s="70"/>
      <c r="Q522" s="70"/>
      <c r="R522" s="70"/>
      <c r="S522" s="70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65"/>
      <c r="AO522" s="56"/>
      <c r="AP522" s="56"/>
      <c r="AQ522" s="56"/>
      <c r="AR522" s="56"/>
    </row>
    <row r="523">
      <c r="A523" s="65"/>
      <c r="B523" s="65"/>
      <c r="C523" s="65"/>
      <c r="D523" s="65"/>
      <c r="E523" s="65"/>
      <c r="F523" s="65"/>
      <c r="G523" s="65"/>
      <c r="H523" s="65"/>
      <c r="I523" s="69"/>
      <c r="J523" s="70"/>
      <c r="K523" s="70"/>
      <c r="L523" s="69"/>
      <c r="M523" s="70"/>
      <c r="N523" s="70"/>
      <c r="O523" s="70"/>
      <c r="P523" s="70"/>
      <c r="Q523" s="70"/>
      <c r="R523" s="70"/>
      <c r="S523" s="70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65"/>
      <c r="AO523" s="56"/>
      <c r="AP523" s="56"/>
      <c r="AQ523" s="56"/>
      <c r="AR523" s="56"/>
    </row>
    <row r="524">
      <c r="A524" s="65"/>
      <c r="B524" s="65"/>
      <c r="C524" s="65"/>
      <c r="D524" s="65"/>
      <c r="E524" s="65"/>
      <c r="F524" s="65"/>
      <c r="G524" s="65"/>
      <c r="H524" s="65"/>
      <c r="I524" s="69"/>
      <c r="J524" s="70"/>
      <c r="K524" s="70"/>
      <c r="L524" s="69"/>
      <c r="M524" s="70"/>
      <c r="N524" s="70"/>
      <c r="O524" s="70"/>
      <c r="P524" s="70"/>
      <c r="Q524" s="70"/>
      <c r="R524" s="70"/>
      <c r="S524" s="70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65"/>
      <c r="AO524" s="56"/>
      <c r="AP524" s="56"/>
      <c r="AQ524" s="56"/>
      <c r="AR524" s="56"/>
    </row>
    <row r="525">
      <c r="A525" s="65"/>
      <c r="B525" s="65"/>
      <c r="C525" s="65"/>
      <c r="D525" s="65"/>
      <c r="E525" s="65"/>
      <c r="F525" s="65"/>
      <c r="G525" s="65"/>
      <c r="H525" s="65"/>
      <c r="I525" s="69"/>
      <c r="J525" s="70"/>
      <c r="K525" s="70"/>
      <c r="L525" s="69"/>
      <c r="M525" s="70"/>
      <c r="N525" s="70"/>
      <c r="O525" s="70"/>
      <c r="P525" s="70"/>
      <c r="Q525" s="70"/>
      <c r="R525" s="70"/>
      <c r="S525" s="70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65"/>
      <c r="AO525" s="56"/>
      <c r="AP525" s="56"/>
      <c r="AQ525" s="56"/>
      <c r="AR525" s="56"/>
    </row>
    <row r="526">
      <c r="A526" s="65"/>
      <c r="B526" s="65"/>
      <c r="C526" s="65"/>
      <c r="D526" s="65"/>
      <c r="E526" s="65"/>
      <c r="F526" s="65"/>
      <c r="G526" s="65"/>
      <c r="H526" s="65"/>
      <c r="I526" s="69"/>
      <c r="J526" s="70"/>
      <c r="K526" s="70"/>
      <c r="L526" s="69"/>
      <c r="M526" s="70"/>
      <c r="N526" s="70"/>
      <c r="O526" s="70"/>
      <c r="P526" s="70"/>
      <c r="Q526" s="70"/>
      <c r="R526" s="70"/>
      <c r="S526" s="70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65"/>
      <c r="AO526" s="56"/>
      <c r="AP526" s="56"/>
      <c r="AQ526" s="56"/>
      <c r="AR526" s="56"/>
    </row>
    <row r="527">
      <c r="A527" s="65"/>
      <c r="B527" s="65"/>
      <c r="C527" s="65"/>
      <c r="D527" s="65"/>
      <c r="E527" s="65"/>
      <c r="F527" s="65"/>
      <c r="G527" s="65"/>
      <c r="H527" s="65"/>
      <c r="I527" s="69"/>
      <c r="J527" s="70"/>
      <c r="K527" s="70"/>
      <c r="L527" s="69"/>
      <c r="M527" s="70"/>
      <c r="N527" s="70"/>
      <c r="O527" s="70"/>
      <c r="P527" s="70"/>
      <c r="Q527" s="70"/>
      <c r="R527" s="70"/>
      <c r="S527" s="70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65"/>
      <c r="AO527" s="56"/>
      <c r="AP527" s="56"/>
      <c r="AQ527" s="56"/>
      <c r="AR527" s="56"/>
    </row>
    <row r="528">
      <c r="A528" s="65"/>
      <c r="B528" s="65"/>
      <c r="C528" s="65"/>
      <c r="D528" s="65"/>
      <c r="E528" s="65"/>
      <c r="F528" s="65"/>
      <c r="G528" s="65"/>
      <c r="H528" s="65"/>
      <c r="I528" s="69"/>
      <c r="J528" s="70"/>
      <c r="K528" s="70"/>
      <c r="L528" s="69"/>
      <c r="M528" s="70"/>
      <c r="N528" s="70"/>
      <c r="O528" s="70"/>
      <c r="P528" s="70"/>
      <c r="Q528" s="70"/>
      <c r="R528" s="70"/>
      <c r="S528" s="70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65"/>
      <c r="AO528" s="56"/>
      <c r="AP528" s="56"/>
      <c r="AQ528" s="56"/>
      <c r="AR528" s="56"/>
    </row>
    <row r="529">
      <c r="A529" s="65"/>
      <c r="B529" s="65"/>
      <c r="C529" s="65"/>
      <c r="D529" s="65"/>
      <c r="E529" s="65"/>
      <c r="F529" s="65"/>
      <c r="G529" s="65"/>
      <c r="H529" s="65"/>
      <c r="I529" s="69"/>
      <c r="J529" s="70"/>
      <c r="K529" s="70"/>
      <c r="L529" s="69"/>
      <c r="M529" s="70"/>
      <c r="N529" s="70"/>
      <c r="O529" s="70"/>
      <c r="P529" s="70"/>
      <c r="Q529" s="70"/>
      <c r="R529" s="70"/>
      <c r="S529" s="70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65"/>
      <c r="AO529" s="56"/>
      <c r="AP529" s="56"/>
      <c r="AQ529" s="56"/>
      <c r="AR529" s="56"/>
    </row>
    <row r="530">
      <c r="A530" s="65"/>
      <c r="B530" s="65"/>
      <c r="C530" s="65"/>
      <c r="D530" s="65"/>
      <c r="E530" s="65"/>
      <c r="F530" s="65"/>
      <c r="G530" s="65"/>
      <c r="H530" s="65"/>
      <c r="I530" s="69"/>
      <c r="J530" s="70"/>
      <c r="K530" s="70"/>
      <c r="L530" s="69"/>
      <c r="M530" s="70"/>
      <c r="N530" s="70"/>
      <c r="O530" s="70"/>
      <c r="P530" s="70"/>
      <c r="Q530" s="70"/>
      <c r="R530" s="70"/>
      <c r="S530" s="70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65"/>
      <c r="AO530" s="56"/>
      <c r="AP530" s="56"/>
      <c r="AQ530" s="56"/>
      <c r="AR530" s="56"/>
    </row>
    <row r="531">
      <c r="A531" s="65"/>
      <c r="B531" s="65"/>
      <c r="C531" s="65"/>
      <c r="D531" s="65"/>
      <c r="E531" s="65"/>
      <c r="F531" s="65"/>
      <c r="G531" s="65"/>
      <c r="H531" s="65"/>
      <c r="I531" s="69"/>
      <c r="J531" s="70"/>
      <c r="K531" s="70"/>
      <c r="L531" s="69"/>
      <c r="M531" s="70"/>
      <c r="N531" s="70"/>
      <c r="O531" s="70"/>
      <c r="P531" s="70"/>
      <c r="Q531" s="70"/>
      <c r="R531" s="70"/>
      <c r="S531" s="70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65"/>
      <c r="AO531" s="56"/>
      <c r="AP531" s="56"/>
      <c r="AQ531" s="56"/>
      <c r="AR531" s="56"/>
    </row>
    <row r="532">
      <c r="A532" s="65"/>
      <c r="B532" s="65"/>
      <c r="C532" s="65"/>
      <c r="D532" s="65"/>
      <c r="E532" s="65"/>
      <c r="F532" s="65"/>
      <c r="G532" s="65"/>
      <c r="H532" s="65"/>
      <c r="I532" s="69"/>
      <c r="J532" s="70"/>
      <c r="K532" s="70"/>
      <c r="L532" s="69"/>
      <c r="M532" s="70"/>
      <c r="N532" s="70"/>
      <c r="O532" s="70"/>
      <c r="P532" s="70"/>
      <c r="Q532" s="70"/>
      <c r="R532" s="70"/>
      <c r="S532" s="70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65"/>
      <c r="AO532" s="56"/>
      <c r="AP532" s="56"/>
      <c r="AQ532" s="56"/>
      <c r="AR532" s="56"/>
    </row>
    <row r="533">
      <c r="A533" s="65"/>
      <c r="B533" s="65"/>
      <c r="C533" s="65"/>
      <c r="D533" s="65"/>
      <c r="E533" s="65"/>
      <c r="F533" s="65"/>
      <c r="G533" s="65"/>
      <c r="H533" s="65"/>
      <c r="I533" s="69"/>
      <c r="J533" s="70"/>
      <c r="K533" s="70"/>
      <c r="L533" s="69"/>
      <c r="M533" s="70"/>
      <c r="N533" s="70"/>
      <c r="O533" s="70"/>
      <c r="P533" s="70"/>
      <c r="Q533" s="70"/>
      <c r="R533" s="70"/>
      <c r="S533" s="70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65"/>
      <c r="AO533" s="56"/>
      <c r="AP533" s="56"/>
      <c r="AQ533" s="56"/>
      <c r="AR533" s="56"/>
    </row>
    <row r="534">
      <c r="A534" s="65"/>
      <c r="B534" s="65"/>
      <c r="C534" s="65"/>
      <c r="D534" s="65"/>
      <c r="E534" s="65"/>
      <c r="F534" s="65"/>
      <c r="G534" s="65"/>
      <c r="H534" s="65"/>
      <c r="I534" s="69"/>
      <c r="J534" s="70"/>
      <c r="K534" s="70"/>
      <c r="L534" s="69"/>
      <c r="M534" s="70"/>
      <c r="N534" s="70"/>
      <c r="O534" s="70"/>
      <c r="P534" s="70"/>
      <c r="Q534" s="70"/>
      <c r="R534" s="70"/>
      <c r="S534" s="70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65"/>
      <c r="AO534" s="56"/>
      <c r="AP534" s="56"/>
      <c r="AQ534" s="56"/>
      <c r="AR534" s="56"/>
    </row>
    <row r="535">
      <c r="A535" s="65"/>
      <c r="B535" s="65"/>
      <c r="C535" s="65"/>
      <c r="D535" s="65"/>
      <c r="E535" s="65"/>
      <c r="F535" s="65"/>
      <c r="G535" s="65"/>
      <c r="H535" s="65"/>
      <c r="I535" s="69"/>
      <c r="J535" s="70"/>
      <c r="K535" s="70"/>
      <c r="L535" s="69"/>
      <c r="M535" s="70"/>
      <c r="N535" s="70"/>
      <c r="O535" s="70"/>
      <c r="P535" s="70"/>
      <c r="Q535" s="70"/>
      <c r="R535" s="70"/>
      <c r="S535" s="70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65"/>
      <c r="AO535" s="56"/>
      <c r="AP535" s="56"/>
      <c r="AQ535" s="56"/>
      <c r="AR535" s="56"/>
    </row>
    <row r="536">
      <c r="A536" s="65"/>
      <c r="B536" s="65"/>
      <c r="C536" s="65"/>
      <c r="D536" s="65"/>
      <c r="E536" s="65"/>
      <c r="F536" s="65"/>
      <c r="G536" s="65"/>
      <c r="H536" s="65"/>
      <c r="I536" s="69"/>
      <c r="J536" s="70"/>
      <c r="K536" s="70"/>
      <c r="L536" s="69"/>
      <c r="M536" s="70"/>
      <c r="N536" s="70"/>
      <c r="O536" s="70"/>
      <c r="P536" s="70"/>
      <c r="Q536" s="70"/>
      <c r="R536" s="70"/>
      <c r="S536" s="70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65"/>
      <c r="AO536" s="56"/>
      <c r="AP536" s="56"/>
      <c r="AQ536" s="56"/>
      <c r="AR536" s="56"/>
    </row>
    <row r="537">
      <c r="A537" s="65"/>
      <c r="B537" s="65"/>
      <c r="C537" s="65"/>
      <c r="D537" s="65"/>
      <c r="E537" s="65"/>
      <c r="F537" s="65"/>
      <c r="G537" s="65"/>
      <c r="H537" s="65"/>
      <c r="I537" s="69"/>
      <c r="J537" s="70"/>
      <c r="K537" s="70"/>
      <c r="L537" s="69"/>
      <c r="M537" s="70"/>
      <c r="N537" s="70"/>
      <c r="O537" s="70"/>
      <c r="P537" s="70"/>
      <c r="Q537" s="70"/>
      <c r="R537" s="70"/>
      <c r="S537" s="70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65"/>
      <c r="AO537" s="56"/>
      <c r="AP537" s="56"/>
      <c r="AQ537" s="56"/>
      <c r="AR537" s="56"/>
    </row>
    <row r="538">
      <c r="A538" s="65"/>
      <c r="B538" s="65"/>
      <c r="C538" s="65"/>
      <c r="D538" s="65"/>
      <c r="E538" s="65"/>
      <c r="F538" s="65"/>
      <c r="G538" s="65"/>
      <c r="H538" s="65"/>
      <c r="I538" s="69"/>
      <c r="J538" s="70"/>
      <c r="K538" s="70"/>
      <c r="L538" s="69"/>
      <c r="M538" s="70"/>
      <c r="N538" s="70"/>
      <c r="O538" s="70"/>
      <c r="P538" s="70"/>
      <c r="Q538" s="70"/>
      <c r="R538" s="70"/>
      <c r="S538" s="70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65"/>
      <c r="AO538" s="56"/>
      <c r="AP538" s="56"/>
      <c r="AQ538" s="56"/>
      <c r="AR538" s="56"/>
    </row>
    <row r="539">
      <c r="A539" s="65"/>
      <c r="B539" s="65"/>
      <c r="C539" s="65"/>
      <c r="D539" s="65"/>
      <c r="E539" s="65"/>
      <c r="F539" s="65"/>
      <c r="G539" s="65"/>
      <c r="H539" s="65"/>
      <c r="I539" s="69"/>
      <c r="J539" s="70"/>
      <c r="K539" s="70"/>
      <c r="L539" s="69"/>
      <c r="M539" s="70"/>
      <c r="N539" s="70"/>
      <c r="O539" s="70"/>
      <c r="P539" s="70"/>
      <c r="Q539" s="70"/>
      <c r="R539" s="70"/>
      <c r="S539" s="70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65"/>
      <c r="AO539" s="56"/>
      <c r="AP539" s="56"/>
      <c r="AQ539" s="56"/>
      <c r="AR539" s="56"/>
    </row>
    <row r="540">
      <c r="A540" s="65"/>
      <c r="B540" s="65"/>
      <c r="C540" s="65"/>
      <c r="D540" s="65"/>
      <c r="E540" s="65"/>
      <c r="F540" s="65"/>
      <c r="G540" s="65"/>
      <c r="H540" s="65"/>
      <c r="I540" s="69"/>
      <c r="J540" s="70"/>
      <c r="K540" s="70"/>
      <c r="L540" s="69"/>
      <c r="M540" s="70"/>
      <c r="N540" s="70"/>
      <c r="O540" s="70"/>
      <c r="P540" s="70"/>
      <c r="Q540" s="70"/>
      <c r="R540" s="70"/>
      <c r="S540" s="70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65"/>
      <c r="AO540" s="56"/>
      <c r="AP540" s="56"/>
      <c r="AQ540" s="56"/>
      <c r="AR540" s="56"/>
    </row>
    <row r="541">
      <c r="A541" s="65"/>
      <c r="B541" s="65"/>
      <c r="C541" s="65"/>
      <c r="D541" s="65"/>
      <c r="E541" s="65"/>
      <c r="F541" s="65"/>
      <c r="G541" s="65"/>
      <c r="H541" s="65"/>
      <c r="I541" s="69"/>
      <c r="J541" s="70"/>
      <c r="K541" s="70"/>
      <c r="L541" s="69"/>
      <c r="M541" s="70"/>
      <c r="N541" s="70"/>
      <c r="O541" s="70"/>
      <c r="P541" s="70"/>
      <c r="Q541" s="70"/>
      <c r="R541" s="70"/>
      <c r="S541" s="70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65"/>
      <c r="AO541" s="56"/>
      <c r="AP541" s="56"/>
      <c r="AQ541" s="56"/>
      <c r="AR541" s="56"/>
    </row>
    <row r="542">
      <c r="A542" s="65"/>
      <c r="B542" s="65"/>
      <c r="C542" s="65"/>
      <c r="D542" s="65"/>
      <c r="E542" s="65"/>
      <c r="F542" s="65"/>
      <c r="G542" s="65"/>
      <c r="H542" s="65"/>
      <c r="I542" s="69"/>
      <c r="J542" s="70"/>
      <c r="K542" s="70"/>
      <c r="L542" s="69"/>
      <c r="M542" s="70"/>
      <c r="N542" s="70"/>
      <c r="O542" s="70"/>
      <c r="P542" s="70"/>
      <c r="Q542" s="70"/>
      <c r="R542" s="70"/>
      <c r="S542" s="70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65"/>
      <c r="AO542" s="56"/>
      <c r="AP542" s="56"/>
      <c r="AQ542" s="56"/>
      <c r="AR542" s="56"/>
    </row>
    <row r="543">
      <c r="A543" s="65"/>
      <c r="B543" s="65"/>
      <c r="C543" s="65"/>
      <c r="D543" s="65"/>
      <c r="E543" s="65"/>
      <c r="F543" s="65"/>
      <c r="G543" s="65"/>
      <c r="H543" s="65"/>
      <c r="I543" s="69"/>
      <c r="J543" s="70"/>
      <c r="K543" s="70"/>
      <c r="L543" s="69"/>
      <c r="M543" s="70"/>
      <c r="N543" s="70"/>
      <c r="O543" s="70"/>
      <c r="P543" s="70"/>
      <c r="Q543" s="70"/>
      <c r="R543" s="70"/>
      <c r="S543" s="70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65"/>
      <c r="AO543" s="56"/>
      <c r="AP543" s="56"/>
      <c r="AQ543" s="56"/>
      <c r="AR543" s="56"/>
    </row>
    <row r="544">
      <c r="A544" s="65"/>
      <c r="B544" s="65"/>
      <c r="C544" s="65"/>
      <c r="D544" s="65"/>
      <c r="E544" s="65"/>
      <c r="F544" s="65"/>
      <c r="G544" s="65"/>
      <c r="H544" s="65"/>
      <c r="I544" s="69"/>
      <c r="J544" s="70"/>
      <c r="K544" s="70"/>
      <c r="L544" s="69"/>
      <c r="M544" s="70"/>
      <c r="N544" s="70"/>
      <c r="O544" s="70"/>
      <c r="P544" s="70"/>
      <c r="Q544" s="70"/>
      <c r="R544" s="70"/>
      <c r="S544" s="70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65"/>
      <c r="AO544" s="56"/>
      <c r="AP544" s="56"/>
      <c r="AQ544" s="56"/>
      <c r="AR544" s="56"/>
    </row>
    <row r="545">
      <c r="A545" s="65"/>
      <c r="B545" s="65"/>
      <c r="C545" s="65"/>
      <c r="D545" s="65"/>
      <c r="E545" s="65"/>
      <c r="F545" s="65"/>
      <c r="G545" s="65"/>
      <c r="H545" s="65"/>
      <c r="I545" s="69"/>
      <c r="J545" s="70"/>
      <c r="K545" s="70"/>
      <c r="L545" s="69"/>
      <c r="M545" s="70"/>
      <c r="N545" s="70"/>
      <c r="O545" s="70"/>
      <c r="P545" s="70"/>
      <c r="Q545" s="70"/>
      <c r="R545" s="70"/>
      <c r="S545" s="70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65"/>
      <c r="AO545" s="56"/>
      <c r="AP545" s="56"/>
      <c r="AQ545" s="56"/>
      <c r="AR545" s="56"/>
    </row>
    <row r="546">
      <c r="A546" s="65"/>
      <c r="B546" s="65"/>
      <c r="C546" s="65"/>
      <c r="D546" s="65"/>
      <c r="E546" s="65"/>
      <c r="F546" s="65"/>
      <c r="G546" s="65"/>
      <c r="H546" s="65"/>
      <c r="I546" s="69"/>
      <c r="J546" s="70"/>
      <c r="K546" s="70"/>
      <c r="L546" s="69"/>
      <c r="M546" s="70"/>
      <c r="N546" s="70"/>
      <c r="O546" s="70"/>
      <c r="P546" s="70"/>
      <c r="Q546" s="70"/>
      <c r="R546" s="70"/>
      <c r="S546" s="70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65"/>
      <c r="AO546" s="56"/>
      <c r="AP546" s="56"/>
      <c r="AQ546" s="56"/>
      <c r="AR546" s="56"/>
    </row>
    <row r="547">
      <c r="A547" s="65"/>
      <c r="B547" s="65"/>
      <c r="C547" s="65"/>
      <c r="D547" s="65"/>
      <c r="E547" s="65"/>
      <c r="F547" s="65"/>
      <c r="G547" s="65"/>
      <c r="H547" s="65"/>
      <c r="I547" s="69"/>
      <c r="J547" s="70"/>
      <c r="K547" s="70"/>
      <c r="L547" s="69"/>
      <c r="M547" s="70"/>
      <c r="N547" s="70"/>
      <c r="O547" s="70"/>
      <c r="P547" s="70"/>
      <c r="Q547" s="70"/>
      <c r="R547" s="70"/>
      <c r="S547" s="70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65"/>
      <c r="AO547" s="56"/>
      <c r="AP547" s="56"/>
      <c r="AQ547" s="56"/>
      <c r="AR547" s="56"/>
    </row>
    <row r="548">
      <c r="A548" s="65"/>
      <c r="B548" s="65"/>
      <c r="C548" s="65"/>
      <c r="D548" s="65"/>
      <c r="E548" s="65"/>
      <c r="F548" s="65"/>
      <c r="G548" s="65"/>
      <c r="H548" s="65"/>
      <c r="I548" s="69"/>
      <c r="J548" s="70"/>
      <c r="K548" s="70"/>
      <c r="L548" s="69"/>
      <c r="M548" s="70"/>
      <c r="N548" s="70"/>
      <c r="O548" s="70"/>
      <c r="P548" s="70"/>
      <c r="Q548" s="70"/>
      <c r="R548" s="70"/>
      <c r="S548" s="70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65"/>
      <c r="AO548" s="56"/>
      <c r="AP548" s="56"/>
      <c r="AQ548" s="56"/>
      <c r="AR548" s="56"/>
    </row>
    <row r="549">
      <c r="A549" s="65"/>
      <c r="B549" s="65"/>
      <c r="C549" s="65"/>
      <c r="D549" s="65"/>
      <c r="E549" s="65"/>
      <c r="F549" s="65"/>
      <c r="G549" s="65"/>
      <c r="H549" s="65"/>
      <c r="I549" s="69"/>
      <c r="J549" s="70"/>
      <c r="K549" s="70"/>
      <c r="L549" s="69"/>
      <c r="M549" s="70"/>
      <c r="N549" s="70"/>
      <c r="O549" s="70"/>
      <c r="P549" s="70"/>
      <c r="Q549" s="70"/>
      <c r="R549" s="70"/>
      <c r="S549" s="70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65"/>
      <c r="AO549" s="56"/>
      <c r="AP549" s="56"/>
      <c r="AQ549" s="56"/>
      <c r="AR549" s="56"/>
    </row>
    <row r="550">
      <c r="A550" s="65"/>
      <c r="B550" s="65"/>
      <c r="C550" s="65"/>
      <c r="D550" s="65"/>
      <c r="E550" s="65"/>
      <c r="F550" s="65"/>
      <c r="G550" s="65"/>
      <c r="H550" s="65"/>
      <c r="I550" s="69"/>
      <c r="J550" s="70"/>
      <c r="K550" s="70"/>
      <c r="L550" s="69"/>
      <c r="M550" s="70"/>
      <c r="N550" s="70"/>
      <c r="O550" s="70"/>
      <c r="P550" s="70"/>
      <c r="Q550" s="70"/>
      <c r="R550" s="70"/>
      <c r="S550" s="70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65"/>
      <c r="AO550" s="56"/>
      <c r="AP550" s="56"/>
      <c r="AQ550" s="56"/>
      <c r="AR550" s="56"/>
    </row>
    <row r="551">
      <c r="A551" s="65"/>
      <c r="B551" s="65"/>
      <c r="C551" s="65"/>
      <c r="D551" s="65"/>
      <c r="E551" s="65"/>
      <c r="F551" s="65"/>
      <c r="G551" s="65"/>
      <c r="H551" s="65"/>
      <c r="I551" s="69"/>
      <c r="J551" s="70"/>
      <c r="K551" s="70"/>
      <c r="L551" s="69"/>
      <c r="M551" s="70"/>
      <c r="N551" s="70"/>
      <c r="O551" s="70"/>
      <c r="P551" s="70"/>
      <c r="Q551" s="70"/>
      <c r="R551" s="70"/>
      <c r="S551" s="70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65"/>
      <c r="AO551" s="56"/>
      <c r="AP551" s="56"/>
      <c r="AQ551" s="56"/>
      <c r="AR551" s="56"/>
    </row>
    <row r="552">
      <c r="A552" s="65"/>
      <c r="B552" s="65"/>
      <c r="C552" s="65"/>
      <c r="D552" s="65"/>
      <c r="E552" s="65"/>
      <c r="F552" s="65"/>
      <c r="G552" s="65"/>
      <c r="H552" s="65"/>
      <c r="I552" s="69"/>
      <c r="J552" s="70"/>
      <c r="K552" s="70"/>
      <c r="L552" s="69"/>
      <c r="M552" s="70"/>
      <c r="N552" s="70"/>
      <c r="O552" s="70"/>
      <c r="P552" s="70"/>
      <c r="Q552" s="70"/>
      <c r="R552" s="70"/>
      <c r="S552" s="70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65"/>
      <c r="AO552" s="56"/>
      <c r="AP552" s="56"/>
      <c r="AQ552" s="56"/>
      <c r="AR552" s="56"/>
    </row>
    <row r="553">
      <c r="A553" s="65"/>
      <c r="B553" s="65"/>
      <c r="C553" s="65"/>
      <c r="D553" s="65"/>
      <c r="E553" s="65"/>
      <c r="F553" s="65"/>
      <c r="G553" s="65"/>
      <c r="H553" s="65"/>
      <c r="I553" s="69"/>
      <c r="J553" s="70"/>
      <c r="K553" s="70"/>
      <c r="L553" s="69"/>
      <c r="M553" s="70"/>
      <c r="N553" s="70"/>
      <c r="O553" s="70"/>
      <c r="P553" s="70"/>
      <c r="Q553" s="70"/>
      <c r="R553" s="70"/>
      <c r="S553" s="70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65"/>
      <c r="AO553" s="56"/>
      <c r="AP553" s="56"/>
      <c r="AQ553" s="56"/>
      <c r="AR553" s="56"/>
    </row>
    <row r="554">
      <c r="A554" s="65"/>
      <c r="B554" s="65"/>
      <c r="C554" s="65"/>
      <c r="D554" s="65"/>
      <c r="E554" s="65"/>
      <c r="F554" s="65"/>
      <c r="G554" s="65"/>
      <c r="H554" s="65"/>
      <c r="I554" s="69"/>
      <c r="J554" s="70"/>
      <c r="K554" s="70"/>
      <c r="L554" s="69"/>
      <c r="M554" s="70"/>
      <c r="N554" s="70"/>
      <c r="O554" s="70"/>
      <c r="P554" s="70"/>
      <c r="Q554" s="70"/>
      <c r="R554" s="70"/>
      <c r="S554" s="70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65"/>
      <c r="AO554" s="56"/>
      <c r="AP554" s="56"/>
      <c r="AQ554" s="56"/>
      <c r="AR554" s="56"/>
    </row>
    <row r="555">
      <c r="A555" s="65"/>
      <c r="B555" s="65"/>
      <c r="C555" s="65"/>
      <c r="D555" s="65"/>
      <c r="E555" s="65"/>
      <c r="F555" s="65"/>
      <c r="G555" s="65"/>
      <c r="H555" s="65"/>
      <c r="I555" s="69"/>
      <c r="J555" s="70"/>
      <c r="K555" s="70"/>
      <c r="L555" s="69"/>
      <c r="M555" s="70"/>
      <c r="N555" s="70"/>
      <c r="O555" s="70"/>
      <c r="P555" s="70"/>
      <c r="Q555" s="70"/>
      <c r="R555" s="70"/>
      <c r="S555" s="70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65"/>
      <c r="AO555" s="56"/>
      <c r="AP555" s="56"/>
      <c r="AQ555" s="56"/>
      <c r="AR555" s="56"/>
    </row>
    <row r="556">
      <c r="A556" s="65"/>
      <c r="B556" s="65"/>
      <c r="C556" s="65"/>
      <c r="D556" s="65"/>
      <c r="E556" s="65"/>
      <c r="F556" s="65"/>
      <c r="G556" s="65"/>
      <c r="H556" s="65"/>
      <c r="I556" s="69"/>
      <c r="J556" s="70"/>
      <c r="K556" s="70"/>
      <c r="L556" s="69"/>
      <c r="M556" s="70"/>
      <c r="N556" s="70"/>
      <c r="O556" s="70"/>
      <c r="P556" s="70"/>
      <c r="Q556" s="70"/>
      <c r="R556" s="70"/>
      <c r="S556" s="70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65"/>
      <c r="AO556" s="56"/>
      <c r="AP556" s="56"/>
      <c r="AQ556" s="56"/>
      <c r="AR556" s="56"/>
    </row>
    <row r="557">
      <c r="A557" s="65"/>
      <c r="B557" s="65"/>
      <c r="C557" s="65"/>
      <c r="D557" s="65"/>
      <c r="E557" s="65"/>
      <c r="F557" s="65"/>
      <c r="G557" s="65"/>
      <c r="H557" s="65"/>
      <c r="I557" s="69"/>
      <c r="J557" s="70"/>
      <c r="K557" s="70"/>
      <c r="L557" s="69"/>
      <c r="M557" s="70"/>
      <c r="N557" s="70"/>
      <c r="O557" s="70"/>
      <c r="P557" s="70"/>
      <c r="Q557" s="70"/>
      <c r="R557" s="70"/>
      <c r="S557" s="70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65"/>
      <c r="AO557" s="56"/>
      <c r="AP557" s="56"/>
      <c r="AQ557" s="56"/>
      <c r="AR557" s="56"/>
    </row>
    <row r="558">
      <c r="A558" s="65"/>
      <c r="B558" s="65"/>
      <c r="C558" s="65"/>
      <c r="D558" s="65"/>
      <c r="E558" s="65"/>
      <c r="F558" s="65"/>
      <c r="G558" s="65"/>
      <c r="H558" s="65"/>
      <c r="I558" s="69"/>
      <c r="J558" s="70"/>
      <c r="K558" s="70"/>
      <c r="L558" s="69"/>
      <c r="M558" s="70"/>
      <c r="N558" s="70"/>
      <c r="O558" s="70"/>
      <c r="P558" s="70"/>
      <c r="Q558" s="70"/>
      <c r="R558" s="70"/>
      <c r="S558" s="70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65"/>
      <c r="AO558" s="56"/>
      <c r="AP558" s="56"/>
      <c r="AQ558" s="56"/>
      <c r="AR558" s="56"/>
    </row>
    <row r="559">
      <c r="A559" s="65"/>
      <c r="B559" s="65"/>
      <c r="C559" s="65"/>
      <c r="D559" s="65"/>
      <c r="E559" s="65"/>
      <c r="F559" s="65"/>
      <c r="G559" s="65"/>
      <c r="H559" s="65"/>
      <c r="I559" s="69"/>
      <c r="J559" s="70"/>
      <c r="K559" s="70"/>
      <c r="L559" s="69"/>
      <c r="M559" s="70"/>
      <c r="N559" s="70"/>
      <c r="O559" s="70"/>
      <c r="P559" s="70"/>
      <c r="Q559" s="70"/>
      <c r="R559" s="70"/>
      <c r="S559" s="70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65"/>
      <c r="AO559" s="56"/>
      <c r="AP559" s="56"/>
      <c r="AQ559" s="56"/>
      <c r="AR559" s="56"/>
    </row>
    <row r="560">
      <c r="A560" s="65"/>
      <c r="B560" s="65"/>
      <c r="C560" s="65"/>
      <c r="D560" s="65"/>
      <c r="E560" s="65"/>
      <c r="F560" s="65"/>
      <c r="G560" s="65"/>
      <c r="H560" s="65"/>
      <c r="I560" s="69"/>
      <c r="J560" s="70"/>
      <c r="K560" s="70"/>
      <c r="L560" s="69"/>
      <c r="M560" s="70"/>
      <c r="N560" s="70"/>
      <c r="O560" s="70"/>
      <c r="P560" s="70"/>
      <c r="Q560" s="70"/>
      <c r="R560" s="70"/>
      <c r="S560" s="70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65"/>
      <c r="AO560" s="56"/>
      <c r="AP560" s="56"/>
      <c r="AQ560" s="56"/>
      <c r="AR560" s="56"/>
    </row>
    <row r="561">
      <c r="A561" s="65"/>
      <c r="B561" s="65"/>
      <c r="C561" s="65"/>
      <c r="D561" s="65"/>
      <c r="E561" s="65"/>
      <c r="F561" s="65"/>
      <c r="G561" s="65"/>
      <c r="H561" s="65"/>
      <c r="I561" s="69"/>
      <c r="J561" s="70"/>
      <c r="K561" s="70"/>
      <c r="L561" s="69"/>
      <c r="M561" s="70"/>
      <c r="N561" s="70"/>
      <c r="O561" s="70"/>
      <c r="P561" s="70"/>
      <c r="Q561" s="70"/>
      <c r="R561" s="70"/>
      <c r="S561" s="70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65"/>
      <c r="AO561" s="56"/>
      <c r="AP561" s="56"/>
      <c r="AQ561" s="56"/>
      <c r="AR561" s="56"/>
    </row>
    <row r="562">
      <c r="A562" s="65"/>
      <c r="B562" s="65"/>
      <c r="C562" s="65"/>
      <c r="D562" s="65"/>
      <c r="E562" s="65"/>
      <c r="F562" s="65"/>
      <c r="G562" s="65"/>
      <c r="H562" s="65"/>
      <c r="I562" s="69"/>
      <c r="J562" s="70"/>
      <c r="K562" s="70"/>
      <c r="L562" s="69"/>
      <c r="M562" s="70"/>
      <c r="N562" s="70"/>
      <c r="O562" s="70"/>
      <c r="P562" s="70"/>
      <c r="Q562" s="70"/>
      <c r="R562" s="70"/>
      <c r="S562" s="70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65"/>
      <c r="AO562" s="56"/>
      <c r="AP562" s="56"/>
      <c r="AQ562" s="56"/>
      <c r="AR562" s="56"/>
    </row>
    <row r="563">
      <c r="A563" s="65"/>
      <c r="B563" s="65"/>
      <c r="C563" s="65"/>
      <c r="D563" s="65"/>
      <c r="E563" s="65"/>
      <c r="F563" s="65"/>
      <c r="G563" s="65"/>
      <c r="H563" s="65"/>
      <c r="I563" s="69"/>
      <c r="J563" s="70"/>
      <c r="K563" s="70"/>
      <c r="L563" s="69"/>
      <c r="M563" s="70"/>
      <c r="N563" s="70"/>
      <c r="O563" s="70"/>
      <c r="P563" s="70"/>
      <c r="Q563" s="70"/>
      <c r="R563" s="70"/>
      <c r="S563" s="70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65"/>
      <c r="AO563" s="56"/>
      <c r="AP563" s="56"/>
      <c r="AQ563" s="56"/>
      <c r="AR563" s="56"/>
    </row>
    <row r="564">
      <c r="A564" s="65"/>
      <c r="B564" s="65"/>
      <c r="C564" s="65"/>
      <c r="D564" s="65"/>
      <c r="E564" s="65"/>
      <c r="F564" s="65"/>
      <c r="G564" s="65"/>
      <c r="H564" s="65"/>
      <c r="I564" s="69"/>
      <c r="J564" s="70"/>
      <c r="K564" s="70"/>
      <c r="L564" s="69"/>
      <c r="M564" s="70"/>
      <c r="N564" s="70"/>
      <c r="O564" s="70"/>
      <c r="P564" s="70"/>
      <c r="Q564" s="70"/>
      <c r="R564" s="70"/>
      <c r="S564" s="70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65"/>
      <c r="AO564" s="56"/>
      <c r="AP564" s="56"/>
      <c r="AQ564" s="56"/>
      <c r="AR564" s="56"/>
    </row>
    <row r="565">
      <c r="A565" s="65"/>
      <c r="B565" s="65"/>
      <c r="C565" s="65"/>
      <c r="D565" s="65"/>
      <c r="E565" s="65"/>
      <c r="F565" s="65"/>
      <c r="G565" s="65"/>
      <c r="H565" s="65"/>
      <c r="I565" s="69"/>
      <c r="J565" s="70"/>
      <c r="K565" s="70"/>
      <c r="L565" s="69"/>
      <c r="M565" s="70"/>
      <c r="N565" s="70"/>
      <c r="O565" s="70"/>
      <c r="P565" s="70"/>
      <c r="Q565" s="70"/>
      <c r="R565" s="70"/>
      <c r="S565" s="70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65"/>
      <c r="AO565" s="56"/>
      <c r="AP565" s="56"/>
      <c r="AQ565" s="56"/>
      <c r="AR565" s="56"/>
    </row>
    <row r="566">
      <c r="A566" s="65"/>
      <c r="B566" s="65"/>
      <c r="C566" s="65"/>
      <c r="D566" s="65"/>
      <c r="E566" s="65"/>
      <c r="F566" s="65"/>
      <c r="G566" s="65"/>
      <c r="H566" s="65"/>
      <c r="I566" s="69"/>
      <c r="J566" s="70"/>
      <c r="K566" s="70"/>
      <c r="L566" s="69"/>
      <c r="M566" s="70"/>
      <c r="N566" s="70"/>
      <c r="O566" s="70"/>
      <c r="P566" s="70"/>
      <c r="Q566" s="70"/>
      <c r="R566" s="70"/>
      <c r="S566" s="70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65"/>
      <c r="AO566" s="56"/>
      <c r="AP566" s="56"/>
      <c r="AQ566" s="56"/>
      <c r="AR566" s="56"/>
    </row>
    <row r="567">
      <c r="A567" s="65"/>
      <c r="B567" s="65"/>
      <c r="C567" s="65"/>
      <c r="D567" s="65"/>
      <c r="E567" s="65"/>
      <c r="F567" s="65"/>
      <c r="G567" s="65"/>
      <c r="H567" s="65"/>
      <c r="I567" s="69"/>
      <c r="J567" s="70"/>
      <c r="K567" s="70"/>
      <c r="L567" s="69"/>
      <c r="M567" s="70"/>
      <c r="N567" s="70"/>
      <c r="O567" s="70"/>
      <c r="P567" s="70"/>
      <c r="Q567" s="70"/>
      <c r="R567" s="70"/>
      <c r="S567" s="70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65"/>
      <c r="AO567" s="56"/>
      <c r="AP567" s="56"/>
      <c r="AQ567" s="56"/>
      <c r="AR567" s="56"/>
    </row>
    <row r="568">
      <c r="A568" s="65"/>
      <c r="B568" s="65"/>
      <c r="C568" s="65"/>
      <c r="D568" s="65"/>
      <c r="E568" s="65"/>
      <c r="F568" s="65"/>
      <c r="G568" s="65"/>
      <c r="H568" s="65"/>
      <c r="I568" s="69"/>
      <c r="J568" s="70"/>
      <c r="K568" s="70"/>
      <c r="L568" s="69"/>
      <c r="M568" s="70"/>
      <c r="N568" s="70"/>
      <c r="O568" s="70"/>
      <c r="P568" s="70"/>
      <c r="Q568" s="70"/>
      <c r="R568" s="70"/>
      <c r="S568" s="70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65"/>
      <c r="AO568" s="56"/>
      <c r="AP568" s="56"/>
      <c r="AQ568" s="56"/>
      <c r="AR568" s="56"/>
    </row>
    <row r="569">
      <c r="A569" s="65"/>
      <c r="B569" s="65"/>
      <c r="C569" s="65"/>
      <c r="D569" s="65"/>
      <c r="E569" s="65"/>
      <c r="F569" s="65"/>
      <c r="G569" s="65"/>
      <c r="H569" s="65"/>
      <c r="I569" s="69"/>
      <c r="J569" s="70"/>
      <c r="K569" s="70"/>
      <c r="L569" s="69"/>
      <c r="M569" s="70"/>
      <c r="N569" s="70"/>
      <c r="O569" s="70"/>
      <c r="P569" s="70"/>
      <c r="Q569" s="70"/>
      <c r="R569" s="70"/>
      <c r="S569" s="70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65"/>
      <c r="AO569" s="56"/>
      <c r="AP569" s="56"/>
      <c r="AQ569" s="56"/>
      <c r="AR569" s="56"/>
    </row>
    <row r="570">
      <c r="A570" s="65"/>
      <c r="B570" s="65"/>
      <c r="C570" s="65"/>
      <c r="D570" s="65"/>
      <c r="E570" s="65"/>
      <c r="F570" s="65"/>
      <c r="G570" s="65"/>
      <c r="H570" s="65"/>
      <c r="I570" s="69"/>
      <c r="J570" s="70"/>
      <c r="K570" s="70"/>
      <c r="L570" s="69"/>
      <c r="M570" s="70"/>
      <c r="N570" s="70"/>
      <c r="O570" s="70"/>
      <c r="P570" s="70"/>
      <c r="Q570" s="70"/>
      <c r="R570" s="70"/>
      <c r="S570" s="70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65"/>
      <c r="AO570" s="56"/>
      <c r="AP570" s="56"/>
      <c r="AQ570" s="56"/>
      <c r="AR570" s="56"/>
    </row>
    <row r="571">
      <c r="A571" s="65"/>
      <c r="B571" s="65"/>
      <c r="C571" s="65"/>
      <c r="D571" s="65"/>
      <c r="E571" s="65"/>
      <c r="F571" s="65"/>
      <c r="G571" s="65"/>
      <c r="H571" s="65"/>
      <c r="I571" s="69"/>
      <c r="J571" s="70"/>
      <c r="K571" s="70"/>
      <c r="L571" s="69"/>
      <c r="M571" s="70"/>
      <c r="N571" s="70"/>
      <c r="O571" s="70"/>
      <c r="P571" s="70"/>
      <c r="Q571" s="70"/>
      <c r="R571" s="70"/>
      <c r="S571" s="70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65"/>
      <c r="AO571" s="56"/>
      <c r="AP571" s="56"/>
      <c r="AQ571" s="56"/>
      <c r="AR571" s="56"/>
    </row>
    <row r="572">
      <c r="A572" s="65"/>
      <c r="B572" s="65"/>
      <c r="C572" s="65"/>
      <c r="D572" s="65"/>
      <c r="E572" s="65"/>
      <c r="F572" s="65"/>
      <c r="G572" s="65"/>
      <c r="H572" s="65"/>
      <c r="I572" s="69"/>
      <c r="J572" s="70"/>
      <c r="K572" s="70"/>
      <c r="L572" s="69"/>
      <c r="M572" s="70"/>
      <c r="N572" s="70"/>
      <c r="O572" s="70"/>
      <c r="P572" s="70"/>
      <c r="Q572" s="70"/>
      <c r="R572" s="70"/>
      <c r="S572" s="70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65"/>
      <c r="AO572" s="56"/>
      <c r="AP572" s="56"/>
      <c r="AQ572" s="56"/>
      <c r="AR572" s="56"/>
    </row>
    <row r="573">
      <c r="A573" s="65"/>
      <c r="B573" s="65"/>
      <c r="C573" s="65"/>
      <c r="D573" s="65"/>
      <c r="E573" s="65"/>
      <c r="F573" s="65"/>
      <c r="G573" s="65"/>
      <c r="H573" s="65"/>
      <c r="I573" s="69"/>
      <c r="J573" s="70"/>
      <c r="K573" s="70"/>
      <c r="L573" s="69"/>
      <c r="M573" s="70"/>
      <c r="N573" s="70"/>
      <c r="O573" s="70"/>
      <c r="P573" s="70"/>
      <c r="Q573" s="70"/>
      <c r="R573" s="70"/>
      <c r="S573" s="70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65"/>
      <c r="AO573" s="56"/>
      <c r="AP573" s="56"/>
      <c r="AQ573" s="56"/>
      <c r="AR573" s="56"/>
    </row>
    <row r="574">
      <c r="A574" s="65"/>
      <c r="B574" s="65"/>
      <c r="C574" s="65"/>
      <c r="D574" s="65"/>
      <c r="E574" s="65"/>
      <c r="F574" s="65"/>
      <c r="G574" s="65"/>
      <c r="H574" s="65"/>
      <c r="I574" s="69"/>
      <c r="J574" s="70"/>
      <c r="K574" s="70"/>
      <c r="L574" s="69"/>
      <c r="M574" s="70"/>
      <c r="N574" s="70"/>
      <c r="O574" s="70"/>
      <c r="P574" s="70"/>
      <c r="Q574" s="70"/>
      <c r="R574" s="70"/>
      <c r="S574" s="70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65"/>
      <c r="AO574" s="56"/>
      <c r="AP574" s="56"/>
      <c r="AQ574" s="56"/>
      <c r="AR574" s="56"/>
    </row>
    <row r="575">
      <c r="A575" s="65"/>
      <c r="B575" s="65"/>
      <c r="C575" s="65"/>
      <c r="D575" s="65"/>
      <c r="E575" s="65"/>
      <c r="F575" s="65"/>
      <c r="G575" s="65"/>
      <c r="H575" s="65"/>
      <c r="I575" s="69"/>
      <c r="J575" s="70"/>
      <c r="K575" s="70"/>
      <c r="L575" s="69"/>
      <c r="M575" s="70"/>
      <c r="N575" s="70"/>
      <c r="O575" s="70"/>
      <c r="P575" s="70"/>
      <c r="Q575" s="70"/>
      <c r="R575" s="70"/>
      <c r="S575" s="70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65"/>
      <c r="AO575" s="56"/>
      <c r="AP575" s="56"/>
      <c r="AQ575" s="56"/>
      <c r="AR575" s="56"/>
    </row>
    <row r="576">
      <c r="A576" s="65"/>
      <c r="B576" s="65"/>
      <c r="C576" s="65"/>
      <c r="D576" s="65"/>
      <c r="E576" s="65"/>
      <c r="F576" s="65"/>
      <c r="G576" s="65"/>
      <c r="H576" s="65"/>
      <c r="I576" s="69"/>
      <c r="J576" s="70"/>
      <c r="K576" s="70"/>
      <c r="L576" s="69"/>
      <c r="M576" s="70"/>
      <c r="N576" s="70"/>
      <c r="O576" s="70"/>
      <c r="P576" s="70"/>
      <c r="Q576" s="70"/>
      <c r="R576" s="70"/>
      <c r="S576" s="70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65"/>
      <c r="AO576" s="56"/>
      <c r="AP576" s="56"/>
      <c r="AQ576" s="56"/>
      <c r="AR576" s="56"/>
    </row>
    <row r="577">
      <c r="A577" s="65"/>
      <c r="B577" s="65"/>
      <c r="C577" s="65"/>
      <c r="D577" s="65"/>
      <c r="E577" s="65"/>
      <c r="F577" s="65"/>
      <c r="G577" s="65"/>
      <c r="H577" s="65"/>
      <c r="I577" s="69"/>
      <c r="J577" s="70"/>
      <c r="K577" s="70"/>
      <c r="L577" s="69"/>
      <c r="M577" s="70"/>
      <c r="N577" s="70"/>
      <c r="O577" s="70"/>
      <c r="P577" s="70"/>
      <c r="Q577" s="70"/>
      <c r="R577" s="70"/>
      <c r="S577" s="70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65"/>
      <c r="AO577" s="56"/>
      <c r="AP577" s="56"/>
      <c r="AQ577" s="56"/>
      <c r="AR577" s="56"/>
    </row>
    <row r="578">
      <c r="A578" s="65"/>
      <c r="B578" s="65"/>
      <c r="C578" s="65"/>
      <c r="D578" s="65"/>
      <c r="E578" s="65"/>
      <c r="F578" s="65"/>
      <c r="G578" s="65"/>
      <c r="H578" s="65"/>
      <c r="I578" s="69"/>
      <c r="J578" s="70"/>
      <c r="K578" s="70"/>
      <c r="L578" s="69"/>
      <c r="M578" s="70"/>
      <c r="N578" s="70"/>
      <c r="O578" s="70"/>
      <c r="P578" s="70"/>
      <c r="Q578" s="70"/>
      <c r="R578" s="70"/>
      <c r="S578" s="70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65"/>
      <c r="AO578" s="56"/>
      <c r="AP578" s="56"/>
      <c r="AQ578" s="56"/>
      <c r="AR578" s="56"/>
    </row>
    <row r="579">
      <c r="A579" s="65"/>
      <c r="B579" s="65"/>
      <c r="C579" s="65"/>
      <c r="D579" s="65"/>
      <c r="E579" s="65"/>
      <c r="F579" s="65"/>
      <c r="G579" s="65"/>
      <c r="H579" s="65"/>
      <c r="I579" s="69"/>
      <c r="J579" s="70"/>
      <c r="K579" s="70"/>
      <c r="L579" s="69"/>
      <c r="M579" s="70"/>
      <c r="N579" s="70"/>
      <c r="O579" s="70"/>
      <c r="P579" s="70"/>
      <c r="Q579" s="70"/>
      <c r="R579" s="70"/>
      <c r="S579" s="70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65"/>
      <c r="AO579" s="56"/>
      <c r="AP579" s="56"/>
      <c r="AQ579" s="56"/>
      <c r="AR579" s="56"/>
    </row>
    <row r="580">
      <c r="A580" s="65"/>
      <c r="B580" s="65"/>
      <c r="C580" s="65"/>
      <c r="D580" s="65"/>
      <c r="E580" s="65"/>
      <c r="F580" s="65"/>
      <c r="G580" s="65"/>
      <c r="H580" s="65"/>
      <c r="I580" s="69"/>
      <c r="J580" s="70"/>
      <c r="K580" s="70"/>
      <c r="L580" s="69"/>
      <c r="M580" s="70"/>
      <c r="N580" s="70"/>
      <c r="O580" s="70"/>
      <c r="P580" s="70"/>
      <c r="Q580" s="70"/>
      <c r="R580" s="70"/>
      <c r="S580" s="70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65"/>
      <c r="AO580" s="56"/>
      <c r="AP580" s="56"/>
      <c r="AQ580" s="56"/>
      <c r="AR580" s="56"/>
    </row>
    <row r="581">
      <c r="A581" s="65"/>
      <c r="B581" s="65"/>
      <c r="C581" s="65"/>
      <c r="D581" s="65"/>
      <c r="E581" s="65"/>
      <c r="F581" s="65"/>
      <c r="G581" s="65"/>
      <c r="H581" s="65"/>
      <c r="I581" s="69"/>
      <c r="J581" s="70"/>
      <c r="K581" s="70"/>
      <c r="L581" s="69"/>
      <c r="M581" s="70"/>
      <c r="N581" s="70"/>
      <c r="O581" s="70"/>
      <c r="P581" s="70"/>
      <c r="Q581" s="70"/>
      <c r="R581" s="70"/>
      <c r="S581" s="70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65"/>
      <c r="AO581" s="56"/>
      <c r="AP581" s="56"/>
      <c r="AQ581" s="56"/>
      <c r="AR581" s="56"/>
    </row>
    <row r="582">
      <c r="A582" s="65"/>
      <c r="B582" s="65"/>
      <c r="C582" s="65"/>
      <c r="D582" s="65"/>
      <c r="E582" s="65"/>
      <c r="F582" s="65"/>
      <c r="G582" s="65"/>
      <c r="H582" s="65"/>
      <c r="I582" s="69"/>
      <c r="J582" s="70"/>
      <c r="K582" s="70"/>
      <c r="L582" s="69"/>
      <c r="M582" s="70"/>
      <c r="N582" s="70"/>
      <c r="O582" s="70"/>
      <c r="P582" s="70"/>
      <c r="Q582" s="70"/>
      <c r="R582" s="70"/>
      <c r="S582" s="70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65"/>
      <c r="AO582" s="56"/>
      <c r="AP582" s="56"/>
      <c r="AQ582" s="56"/>
      <c r="AR582" s="56"/>
    </row>
    <row r="583">
      <c r="A583" s="65"/>
      <c r="B583" s="65"/>
      <c r="C583" s="65"/>
      <c r="D583" s="65"/>
      <c r="E583" s="65"/>
      <c r="F583" s="65"/>
      <c r="G583" s="65"/>
      <c r="H583" s="65"/>
      <c r="I583" s="69"/>
      <c r="J583" s="70"/>
      <c r="K583" s="70"/>
      <c r="L583" s="69"/>
      <c r="M583" s="70"/>
      <c r="N583" s="70"/>
      <c r="O583" s="70"/>
      <c r="P583" s="70"/>
      <c r="Q583" s="70"/>
      <c r="R583" s="70"/>
      <c r="S583" s="70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65"/>
      <c r="AO583" s="56"/>
      <c r="AP583" s="56"/>
      <c r="AQ583" s="56"/>
      <c r="AR583" s="56"/>
    </row>
    <row r="584">
      <c r="A584" s="65"/>
      <c r="B584" s="65"/>
      <c r="C584" s="65"/>
      <c r="D584" s="65"/>
      <c r="E584" s="65"/>
      <c r="F584" s="65"/>
      <c r="G584" s="65"/>
      <c r="H584" s="65"/>
      <c r="I584" s="69"/>
      <c r="J584" s="70"/>
      <c r="K584" s="70"/>
      <c r="L584" s="69"/>
      <c r="M584" s="70"/>
      <c r="N584" s="70"/>
      <c r="O584" s="70"/>
      <c r="P584" s="70"/>
      <c r="Q584" s="70"/>
      <c r="R584" s="70"/>
      <c r="S584" s="70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65"/>
      <c r="AO584" s="56"/>
      <c r="AP584" s="56"/>
      <c r="AQ584" s="56"/>
      <c r="AR584" s="56"/>
    </row>
    <row r="585">
      <c r="A585" s="65"/>
      <c r="B585" s="65"/>
      <c r="C585" s="65"/>
      <c r="D585" s="65"/>
      <c r="E585" s="65"/>
      <c r="F585" s="65"/>
      <c r="G585" s="65"/>
      <c r="H585" s="65"/>
      <c r="I585" s="69"/>
      <c r="J585" s="70"/>
      <c r="K585" s="70"/>
      <c r="L585" s="69"/>
      <c r="M585" s="70"/>
      <c r="N585" s="70"/>
      <c r="O585" s="70"/>
      <c r="P585" s="70"/>
      <c r="Q585" s="70"/>
      <c r="R585" s="70"/>
      <c r="S585" s="70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65"/>
      <c r="AO585" s="56"/>
      <c r="AP585" s="56"/>
      <c r="AQ585" s="56"/>
      <c r="AR585" s="56"/>
    </row>
    <row r="586">
      <c r="A586" s="65"/>
      <c r="B586" s="65"/>
      <c r="C586" s="65"/>
      <c r="D586" s="65"/>
      <c r="E586" s="65"/>
      <c r="F586" s="65"/>
      <c r="G586" s="65"/>
      <c r="H586" s="65"/>
      <c r="I586" s="69"/>
      <c r="J586" s="70"/>
      <c r="K586" s="70"/>
      <c r="L586" s="69"/>
      <c r="M586" s="70"/>
      <c r="N586" s="70"/>
      <c r="O586" s="70"/>
      <c r="P586" s="70"/>
      <c r="Q586" s="70"/>
      <c r="R586" s="70"/>
      <c r="S586" s="70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65"/>
      <c r="AO586" s="56"/>
      <c r="AP586" s="56"/>
      <c r="AQ586" s="56"/>
      <c r="AR586" s="56"/>
    </row>
    <row r="587">
      <c r="A587" s="65"/>
      <c r="B587" s="65"/>
      <c r="C587" s="65"/>
      <c r="D587" s="65"/>
      <c r="E587" s="65"/>
      <c r="F587" s="65"/>
      <c r="G587" s="65"/>
      <c r="H587" s="65"/>
      <c r="I587" s="69"/>
      <c r="J587" s="70"/>
      <c r="K587" s="70"/>
      <c r="L587" s="69"/>
      <c r="M587" s="70"/>
      <c r="N587" s="70"/>
      <c r="O587" s="70"/>
      <c r="P587" s="70"/>
      <c r="Q587" s="70"/>
      <c r="R587" s="70"/>
      <c r="S587" s="70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65"/>
      <c r="AO587" s="56"/>
      <c r="AP587" s="56"/>
      <c r="AQ587" s="56"/>
      <c r="AR587" s="56"/>
    </row>
    <row r="588">
      <c r="A588" s="65"/>
      <c r="B588" s="65"/>
      <c r="C588" s="65"/>
      <c r="D588" s="65"/>
      <c r="E588" s="65"/>
      <c r="F588" s="65"/>
      <c r="G588" s="65"/>
      <c r="H588" s="65"/>
      <c r="I588" s="69"/>
      <c r="J588" s="70"/>
      <c r="K588" s="70"/>
      <c r="L588" s="69"/>
      <c r="M588" s="70"/>
      <c r="N588" s="70"/>
      <c r="O588" s="70"/>
      <c r="P588" s="70"/>
      <c r="Q588" s="70"/>
      <c r="R588" s="70"/>
      <c r="S588" s="70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65"/>
      <c r="AO588" s="56"/>
      <c r="AP588" s="56"/>
      <c r="AQ588" s="56"/>
      <c r="AR588" s="56"/>
    </row>
    <row r="589">
      <c r="A589" s="65"/>
      <c r="B589" s="65"/>
      <c r="C589" s="65"/>
      <c r="D589" s="65"/>
      <c r="E589" s="65"/>
      <c r="F589" s="65"/>
      <c r="G589" s="65"/>
      <c r="H589" s="65"/>
      <c r="I589" s="69"/>
      <c r="J589" s="70"/>
      <c r="K589" s="70"/>
      <c r="L589" s="69"/>
      <c r="M589" s="70"/>
      <c r="N589" s="70"/>
      <c r="O589" s="70"/>
      <c r="P589" s="70"/>
      <c r="Q589" s="70"/>
      <c r="R589" s="70"/>
      <c r="S589" s="70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65"/>
      <c r="AO589" s="56"/>
      <c r="AP589" s="56"/>
      <c r="AQ589" s="56"/>
      <c r="AR589" s="56"/>
    </row>
    <row r="590">
      <c r="A590" s="65"/>
      <c r="B590" s="65"/>
      <c r="C590" s="65"/>
      <c r="D590" s="65"/>
      <c r="E590" s="65"/>
      <c r="F590" s="65"/>
      <c r="G590" s="65"/>
      <c r="H590" s="65"/>
      <c r="I590" s="69"/>
      <c r="J590" s="70"/>
      <c r="K590" s="70"/>
      <c r="L590" s="69"/>
      <c r="M590" s="70"/>
      <c r="N590" s="70"/>
      <c r="O590" s="70"/>
      <c r="P590" s="70"/>
      <c r="Q590" s="70"/>
      <c r="R590" s="70"/>
      <c r="S590" s="70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65"/>
      <c r="AO590" s="56"/>
      <c r="AP590" s="56"/>
      <c r="AQ590" s="56"/>
      <c r="AR590" s="56"/>
    </row>
    <row r="591">
      <c r="A591" s="65"/>
      <c r="B591" s="65"/>
      <c r="C591" s="65"/>
      <c r="D591" s="65"/>
      <c r="E591" s="65"/>
      <c r="F591" s="65"/>
      <c r="G591" s="65"/>
      <c r="H591" s="65"/>
      <c r="I591" s="69"/>
      <c r="J591" s="70"/>
      <c r="K591" s="70"/>
      <c r="L591" s="69"/>
      <c r="M591" s="70"/>
      <c r="N591" s="70"/>
      <c r="O591" s="70"/>
      <c r="P591" s="70"/>
      <c r="Q591" s="70"/>
      <c r="R591" s="70"/>
      <c r="S591" s="70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65"/>
      <c r="AO591" s="56"/>
      <c r="AP591" s="56"/>
      <c r="AQ591" s="56"/>
      <c r="AR591" s="56"/>
    </row>
    <row r="592">
      <c r="A592" s="65"/>
      <c r="B592" s="65"/>
      <c r="C592" s="65"/>
      <c r="D592" s="65"/>
      <c r="E592" s="65"/>
      <c r="F592" s="65"/>
      <c r="G592" s="65"/>
      <c r="H592" s="65"/>
      <c r="I592" s="69"/>
      <c r="J592" s="70"/>
      <c r="K592" s="70"/>
      <c r="L592" s="69"/>
      <c r="M592" s="70"/>
      <c r="N592" s="70"/>
      <c r="O592" s="70"/>
      <c r="P592" s="70"/>
      <c r="Q592" s="70"/>
      <c r="R592" s="70"/>
      <c r="S592" s="70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65"/>
      <c r="AO592" s="56"/>
      <c r="AP592" s="56"/>
      <c r="AQ592" s="56"/>
      <c r="AR592" s="56"/>
    </row>
    <row r="593">
      <c r="A593" s="65"/>
      <c r="B593" s="65"/>
      <c r="C593" s="65"/>
      <c r="D593" s="65"/>
      <c r="E593" s="65"/>
      <c r="F593" s="65"/>
      <c r="G593" s="65"/>
      <c r="H593" s="65"/>
      <c r="I593" s="69"/>
      <c r="J593" s="70"/>
      <c r="K593" s="70"/>
      <c r="L593" s="69"/>
      <c r="M593" s="70"/>
      <c r="N593" s="70"/>
      <c r="O593" s="70"/>
      <c r="P593" s="70"/>
      <c r="Q593" s="70"/>
      <c r="R593" s="70"/>
      <c r="S593" s="70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65"/>
      <c r="AO593" s="56"/>
      <c r="AP593" s="56"/>
      <c r="AQ593" s="56"/>
      <c r="AR593" s="56"/>
    </row>
    <row r="594">
      <c r="A594" s="65"/>
      <c r="B594" s="65"/>
      <c r="C594" s="65"/>
      <c r="D594" s="65"/>
      <c r="E594" s="65"/>
      <c r="F594" s="65"/>
      <c r="G594" s="65"/>
      <c r="H594" s="65"/>
      <c r="I594" s="69"/>
      <c r="J594" s="70"/>
      <c r="K594" s="70"/>
      <c r="L594" s="69"/>
      <c r="M594" s="70"/>
      <c r="N594" s="70"/>
      <c r="O594" s="70"/>
      <c r="P594" s="70"/>
      <c r="Q594" s="70"/>
      <c r="R594" s="70"/>
      <c r="S594" s="70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65"/>
      <c r="AO594" s="56"/>
      <c r="AP594" s="56"/>
      <c r="AQ594" s="56"/>
      <c r="AR594" s="56"/>
    </row>
    <row r="595">
      <c r="A595" s="65"/>
      <c r="B595" s="65"/>
      <c r="C595" s="65"/>
      <c r="D595" s="65"/>
      <c r="E595" s="65"/>
      <c r="F595" s="65"/>
      <c r="G595" s="65"/>
      <c r="H595" s="65"/>
      <c r="I595" s="69"/>
      <c r="J595" s="70"/>
      <c r="K595" s="70"/>
      <c r="L595" s="69"/>
      <c r="M595" s="70"/>
      <c r="N595" s="70"/>
      <c r="O595" s="70"/>
      <c r="P595" s="70"/>
      <c r="Q595" s="70"/>
      <c r="R595" s="70"/>
      <c r="S595" s="70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65"/>
      <c r="AO595" s="56"/>
      <c r="AP595" s="56"/>
      <c r="AQ595" s="56"/>
      <c r="AR595" s="56"/>
    </row>
    <row r="596">
      <c r="A596" s="65"/>
      <c r="B596" s="65"/>
      <c r="C596" s="65"/>
      <c r="D596" s="65"/>
      <c r="E596" s="65"/>
      <c r="F596" s="65"/>
      <c r="G596" s="65"/>
      <c r="H596" s="65"/>
      <c r="I596" s="69"/>
      <c r="J596" s="70"/>
      <c r="K596" s="70"/>
      <c r="L596" s="69"/>
      <c r="M596" s="70"/>
      <c r="N596" s="70"/>
      <c r="O596" s="70"/>
      <c r="P596" s="70"/>
      <c r="Q596" s="70"/>
      <c r="R596" s="70"/>
      <c r="S596" s="70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65"/>
      <c r="AO596" s="56"/>
      <c r="AP596" s="56"/>
      <c r="AQ596" s="56"/>
      <c r="AR596" s="56"/>
    </row>
    <row r="597">
      <c r="A597" s="65"/>
      <c r="B597" s="65"/>
      <c r="C597" s="65"/>
      <c r="D597" s="65"/>
      <c r="E597" s="65"/>
      <c r="F597" s="65"/>
      <c r="G597" s="65"/>
      <c r="H597" s="65"/>
      <c r="I597" s="69"/>
      <c r="J597" s="70"/>
      <c r="K597" s="70"/>
      <c r="L597" s="69"/>
      <c r="M597" s="70"/>
      <c r="N597" s="70"/>
      <c r="O597" s="70"/>
      <c r="P597" s="70"/>
      <c r="Q597" s="70"/>
      <c r="R597" s="70"/>
      <c r="S597" s="70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65"/>
      <c r="AO597" s="56"/>
      <c r="AP597" s="56"/>
      <c r="AQ597" s="56"/>
      <c r="AR597" s="56"/>
    </row>
    <row r="598">
      <c r="A598" s="65"/>
      <c r="B598" s="65"/>
      <c r="C598" s="65"/>
      <c r="D598" s="65"/>
      <c r="E598" s="65"/>
      <c r="F598" s="65"/>
      <c r="G598" s="65"/>
      <c r="H598" s="65"/>
      <c r="I598" s="69"/>
      <c r="J598" s="70"/>
      <c r="K598" s="70"/>
      <c r="L598" s="69"/>
      <c r="M598" s="70"/>
      <c r="N598" s="70"/>
      <c r="O598" s="70"/>
      <c r="P598" s="70"/>
      <c r="Q598" s="70"/>
      <c r="R598" s="70"/>
      <c r="S598" s="70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65"/>
      <c r="AO598" s="56"/>
      <c r="AP598" s="56"/>
      <c r="AQ598" s="56"/>
      <c r="AR598" s="56"/>
    </row>
    <row r="599">
      <c r="A599" s="65"/>
      <c r="B599" s="65"/>
      <c r="C599" s="65"/>
      <c r="D599" s="65"/>
      <c r="E599" s="65"/>
      <c r="F599" s="65"/>
      <c r="G599" s="65"/>
      <c r="H599" s="65"/>
      <c r="I599" s="69"/>
      <c r="J599" s="70"/>
      <c r="K599" s="70"/>
      <c r="L599" s="69"/>
      <c r="M599" s="70"/>
      <c r="N599" s="70"/>
      <c r="O599" s="70"/>
      <c r="P599" s="70"/>
      <c r="Q599" s="70"/>
      <c r="R599" s="70"/>
      <c r="S599" s="70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65"/>
      <c r="AO599" s="56"/>
      <c r="AP599" s="56"/>
      <c r="AQ599" s="56"/>
      <c r="AR599" s="56"/>
    </row>
    <row r="600">
      <c r="A600" s="65"/>
      <c r="B600" s="65"/>
      <c r="C600" s="65"/>
      <c r="D600" s="65"/>
      <c r="E600" s="65"/>
      <c r="F600" s="65"/>
      <c r="G600" s="65"/>
      <c r="H600" s="65"/>
      <c r="I600" s="69"/>
      <c r="J600" s="70"/>
      <c r="K600" s="70"/>
      <c r="L600" s="69"/>
      <c r="M600" s="70"/>
      <c r="N600" s="70"/>
      <c r="O600" s="70"/>
      <c r="P600" s="70"/>
      <c r="Q600" s="70"/>
      <c r="R600" s="70"/>
      <c r="S600" s="70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65"/>
      <c r="AO600" s="56"/>
      <c r="AP600" s="56"/>
      <c r="AQ600" s="56"/>
      <c r="AR600" s="56"/>
    </row>
    <row r="601">
      <c r="A601" s="65"/>
      <c r="B601" s="65"/>
      <c r="C601" s="65"/>
      <c r="D601" s="65"/>
      <c r="E601" s="65"/>
      <c r="F601" s="65"/>
      <c r="G601" s="65"/>
      <c r="H601" s="65"/>
      <c r="I601" s="69"/>
      <c r="J601" s="70"/>
      <c r="K601" s="70"/>
      <c r="L601" s="69"/>
      <c r="M601" s="70"/>
      <c r="N601" s="70"/>
      <c r="O601" s="70"/>
      <c r="P601" s="70"/>
      <c r="Q601" s="70"/>
      <c r="R601" s="70"/>
      <c r="S601" s="70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65"/>
      <c r="AO601" s="56"/>
      <c r="AP601" s="56"/>
      <c r="AQ601" s="56"/>
      <c r="AR601" s="56"/>
    </row>
    <row r="602">
      <c r="A602" s="65"/>
      <c r="B602" s="65"/>
      <c r="C602" s="65"/>
      <c r="D602" s="65"/>
      <c r="E602" s="65"/>
      <c r="F602" s="65"/>
      <c r="G602" s="65"/>
      <c r="H602" s="65"/>
      <c r="I602" s="69"/>
      <c r="J602" s="70"/>
      <c r="K602" s="70"/>
      <c r="L602" s="69"/>
      <c r="M602" s="70"/>
      <c r="N602" s="70"/>
      <c r="O602" s="70"/>
      <c r="P602" s="70"/>
      <c r="Q602" s="70"/>
      <c r="R602" s="70"/>
      <c r="S602" s="70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65"/>
      <c r="AO602" s="56"/>
      <c r="AP602" s="56"/>
      <c r="AQ602" s="56"/>
      <c r="AR602" s="56"/>
    </row>
    <row r="603">
      <c r="A603" s="65"/>
      <c r="B603" s="65"/>
      <c r="C603" s="65"/>
      <c r="D603" s="65"/>
      <c r="E603" s="65"/>
      <c r="F603" s="65"/>
      <c r="G603" s="65"/>
      <c r="H603" s="65"/>
      <c r="I603" s="69"/>
      <c r="J603" s="70"/>
      <c r="K603" s="70"/>
      <c r="L603" s="69"/>
      <c r="M603" s="70"/>
      <c r="N603" s="70"/>
      <c r="O603" s="70"/>
      <c r="P603" s="70"/>
      <c r="Q603" s="70"/>
      <c r="R603" s="70"/>
      <c r="S603" s="70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65"/>
      <c r="AO603" s="56"/>
      <c r="AP603" s="56"/>
      <c r="AQ603" s="56"/>
      <c r="AR603" s="56"/>
    </row>
    <row r="604">
      <c r="A604" s="65"/>
      <c r="B604" s="65"/>
      <c r="C604" s="65"/>
      <c r="D604" s="65"/>
      <c r="E604" s="65"/>
      <c r="F604" s="65"/>
      <c r="G604" s="65"/>
      <c r="H604" s="65"/>
      <c r="I604" s="69"/>
      <c r="J604" s="70"/>
      <c r="K604" s="70"/>
      <c r="L604" s="69"/>
      <c r="M604" s="70"/>
      <c r="N604" s="70"/>
      <c r="O604" s="70"/>
      <c r="P604" s="70"/>
      <c r="Q604" s="70"/>
      <c r="R604" s="70"/>
      <c r="S604" s="70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65"/>
      <c r="AO604" s="56"/>
      <c r="AP604" s="56"/>
      <c r="AQ604" s="56"/>
      <c r="AR604" s="56"/>
    </row>
    <row r="605">
      <c r="A605" s="65"/>
      <c r="B605" s="65"/>
      <c r="C605" s="65"/>
      <c r="D605" s="65"/>
      <c r="E605" s="65"/>
      <c r="F605" s="65"/>
      <c r="G605" s="65"/>
      <c r="H605" s="65"/>
      <c r="I605" s="69"/>
      <c r="J605" s="70"/>
      <c r="K605" s="70"/>
      <c r="L605" s="69"/>
      <c r="M605" s="70"/>
      <c r="N605" s="70"/>
      <c r="O605" s="70"/>
      <c r="P605" s="70"/>
      <c r="Q605" s="70"/>
      <c r="R605" s="70"/>
      <c r="S605" s="70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65"/>
      <c r="AO605" s="56"/>
      <c r="AP605" s="56"/>
      <c r="AQ605" s="56"/>
      <c r="AR605" s="56"/>
    </row>
    <row r="606">
      <c r="A606" s="65"/>
      <c r="B606" s="65"/>
      <c r="C606" s="65"/>
      <c r="D606" s="65"/>
      <c r="E606" s="65"/>
      <c r="F606" s="65"/>
      <c r="G606" s="65"/>
      <c r="H606" s="65"/>
      <c r="I606" s="69"/>
      <c r="J606" s="70"/>
      <c r="K606" s="70"/>
      <c r="L606" s="69"/>
      <c r="M606" s="70"/>
      <c r="N606" s="70"/>
      <c r="O606" s="70"/>
      <c r="P606" s="70"/>
      <c r="Q606" s="70"/>
      <c r="R606" s="70"/>
      <c r="S606" s="70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65"/>
      <c r="AO606" s="56"/>
      <c r="AP606" s="56"/>
      <c r="AQ606" s="56"/>
      <c r="AR606" s="56"/>
    </row>
    <row r="607">
      <c r="A607" s="65"/>
      <c r="B607" s="65"/>
      <c r="C607" s="65"/>
      <c r="D607" s="65"/>
      <c r="E607" s="65"/>
      <c r="F607" s="65"/>
      <c r="G607" s="65"/>
      <c r="H607" s="65"/>
      <c r="I607" s="69"/>
      <c r="J607" s="70"/>
      <c r="K607" s="70"/>
      <c r="L607" s="69"/>
      <c r="M607" s="70"/>
      <c r="N607" s="70"/>
      <c r="O607" s="70"/>
      <c r="P607" s="70"/>
      <c r="Q607" s="70"/>
      <c r="R607" s="70"/>
      <c r="S607" s="70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65"/>
      <c r="AO607" s="56"/>
      <c r="AP607" s="56"/>
      <c r="AQ607" s="56"/>
      <c r="AR607" s="56"/>
    </row>
    <row r="608">
      <c r="A608" s="65"/>
      <c r="B608" s="65"/>
      <c r="C608" s="65"/>
      <c r="D608" s="65"/>
      <c r="E608" s="65"/>
      <c r="F608" s="65"/>
      <c r="G608" s="65"/>
      <c r="H608" s="65"/>
      <c r="I608" s="69"/>
      <c r="J608" s="70"/>
      <c r="K608" s="70"/>
      <c r="L608" s="69"/>
      <c r="M608" s="70"/>
      <c r="N608" s="70"/>
      <c r="O608" s="70"/>
      <c r="P608" s="70"/>
      <c r="Q608" s="70"/>
      <c r="R608" s="70"/>
      <c r="S608" s="70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65"/>
      <c r="AO608" s="56"/>
      <c r="AP608" s="56"/>
      <c r="AQ608" s="56"/>
      <c r="AR608" s="56"/>
    </row>
    <row r="609">
      <c r="A609" s="65"/>
      <c r="B609" s="65"/>
      <c r="C609" s="65"/>
      <c r="D609" s="65"/>
      <c r="E609" s="65"/>
      <c r="F609" s="65"/>
      <c r="G609" s="65"/>
      <c r="H609" s="65"/>
      <c r="I609" s="69"/>
      <c r="J609" s="70"/>
      <c r="K609" s="70"/>
      <c r="L609" s="69"/>
      <c r="M609" s="70"/>
      <c r="N609" s="70"/>
      <c r="O609" s="70"/>
      <c r="P609" s="70"/>
      <c r="Q609" s="70"/>
      <c r="R609" s="70"/>
      <c r="S609" s="70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65"/>
      <c r="AO609" s="56"/>
      <c r="AP609" s="56"/>
      <c r="AQ609" s="56"/>
      <c r="AR609" s="56"/>
    </row>
    <row r="610">
      <c r="A610" s="65"/>
      <c r="B610" s="65"/>
      <c r="C610" s="65"/>
      <c r="D610" s="65"/>
      <c r="E610" s="65"/>
      <c r="F610" s="65"/>
      <c r="G610" s="65"/>
      <c r="H610" s="65"/>
      <c r="I610" s="69"/>
      <c r="J610" s="70"/>
      <c r="K610" s="70"/>
      <c r="L610" s="69"/>
      <c r="M610" s="70"/>
      <c r="N610" s="70"/>
      <c r="O610" s="70"/>
      <c r="P610" s="70"/>
      <c r="Q610" s="70"/>
      <c r="R610" s="70"/>
      <c r="S610" s="70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65"/>
      <c r="AO610" s="56"/>
      <c r="AP610" s="56"/>
      <c r="AQ610" s="56"/>
      <c r="AR610" s="56"/>
    </row>
    <row r="611">
      <c r="A611" s="65"/>
      <c r="B611" s="65"/>
      <c r="C611" s="65"/>
      <c r="D611" s="65"/>
      <c r="E611" s="65"/>
      <c r="F611" s="65"/>
      <c r="G611" s="65"/>
      <c r="H611" s="65"/>
      <c r="I611" s="69"/>
      <c r="J611" s="70"/>
      <c r="K611" s="70"/>
      <c r="L611" s="69"/>
      <c r="M611" s="70"/>
      <c r="N611" s="70"/>
      <c r="O611" s="70"/>
      <c r="P611" s="70"/>
      <c r="Q611" s="70"/>
      <c r="R611" s="70"/>
      <c r="S611" s="70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65"/>
      <c r="AO611" s="56"/>
      <c r="AP611" s="56"/>
      <c r="AQ611" s="56"/>
      <c r="AR611" s="56"/>
    </row>
    <row r="612">
      <c r="A612" s="65"/>
      <c r="B612" s="65"/>
      <c r="C612" s="65"/>
      <c r="D612" s="65"/>
      <c r="E612" s="65"/>
      <c r="F612" s="65"/>
      <c r="G612" s="65"/>
      <c r="H612" s="65"/>
      <c r="I612" s="69"/>
      <c r="J612" s="70"/>
      <c r="K612" s="70"/>
      <c r="L612" s="69"/>
      <c r="M612" s="70"/>
      <c r="N612" s="70"/>
      <c r="O612" s="70"/>
      <c r="P612" s="70"/>
      <c r="Q612" s="70"/>
      <c r="R612" s="70"/>
      <c r="S612" s="70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65"/>
      <c r="AO612" s="56"/>
      <c r="AP612" s="56"/>
      <c r="AQ612" s="56"/>
      <c r="AR612" s="56"/>
    </row>
    <row r="613">
      <c r="A613" s="65"/>
      <c r="B613" s="65"/>
      <c r="C613" s="65"/>
      <c r="D613" s="65"/>
      <c r="E613" s="65"/>
      <c r="F613" s="65"/>
      <c r="G613" s="65"/>
      <c r="H613" s="65"/>
      <c r="I613" s="69"/>
      <c r="J613" s="70"/>
      <c r="K613" s="70"/>
      <c r="L613" s="69"/>
      <c r="M613" s="70"/>
      <c r="N613" s="70"/>
      <c r="O613" s="70"/>
      <c r="P613" s="70"/>
      <c r="Q613" s="70"/>
      <c r="R613" s="70"/>
      <c r="S613" s="70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65"/>
      <c r="AO613" s="56"/>
      <c r="AP613" s="56"/>
      <c r="AQ613" s="56"/>
      <c r="AR613" s="56"/>
    </row>
    <row r="614">
      <c r="A614" s="65"/>
      <c r="B614" s="65"/>
      <c r="C614" s="65"/>
      <c r="D614" s="65"/>
      <c r="E614" s="65"/>
      <c r="F614" s="65"/>
      <c r="G614" s="65"/>
      <c r="H614" s="65"/>
      <c r="I614" s="69"/>
      <c r="J614" s="70"/>
      <c r="K614" s="70"/>
      <c r="L614" s="69"/>
      <c r="M614" s="70"/>
      <c r="N614" s="70"/>
      <c r="O614" s="70"/>
      <c r="P614" s="70"/>
      <c r="Q614" s="70"/>
      <c r="R614" s="70"/>
      <c r="S614" s="70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65"/>
      <c r="AO614" s="56"/>
      <c r="AP614" s="56"/>
      <c r="AQ614" s="56"/>
      <c r="AR614" s="56"/>
    </row>
    <row r="615">
      <c r="A615" s="65"/>
      <c r="B615" s="65"/>
      <c r="C615" s="65"/>
      <c r="D615" s="65"/>
      <c r="E615" s="65"/>
      <c r="F615" s="65"/>
      <c r="G615" s="65"/>
      <c r="H615" s="65"/>
      <c r="I615" s="69"/>
      <c r="J615" s="70"/>
      <c r="K615" s="70"/>
      <c r="L615" s="69"/>
      <c r="M615" s="70"/>
      <c r="N615" s="70"/>
      <c r="O615" s="70"/>
      <c r="P615" s="70"/>
      <c r="Q615" s="70"/>
      <c r="R615" s="70"/>
      <c r="S615" s="70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65"/>
      <c r="AO615" s="56"/>
      <c r="AP615" s="56"/>
      <c r="AQ615" s="56"/>
      <c r="AR615" s="56"/>
    </row>
    <row r="616">
      <c r="A616" s="65"/>
      <c r="B616" s="65"/>
      <c r="C616" s="65"/>
      <c r="D616" s="65"/>
      <c r="E616" s="65"/>
      <c r="F616" s="65"/>
      <c r="G616" s="65"/>
      <c r="H616" s="65"/>
      <c r="I616" s="69"/>
      <c r="J616" s="70"/>
      <c r="K616" s="70"/>
      <c r="L616" s="69"/>
      <c r="M616" s="70"/>
      <c r="N616" s="70"/>
      <c r="O616" s="70"/>
      <c r="P616" s="70"/>
      <c r="Q616" s="70"/>
      <c r="R616" s="70"/>
      <c r="S616" s="70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65"/>
      <c r="AO616" s="56"/>
      <c r="AP616" s="56"/>
      <c r="AQ616" s="56"/>
      <c r="AR616" s="56"/>
    </row>
    <row r="617">
      <c r="A617" s="65"/>
      <c r="B617" s="65"/>
      <c r="C617" s="65"/>
      <c r="D617" s="65"/>
      <c r="E617" s="65"/>
      <c r="F617" s="65"/>
      <c r="G617" s="65"/>
      <c r="H617" s="65"/>
      <c r="I617" s="69"/>
      <c r="J617" s="70"/>
      <c r="K617" s="70"/>
      <c r="L617" s="69"/>
      <c r="M617" s="70"/>
      <c r="N617" s="70"/>
      <c r="O617" s="70"/>
      <c r="P617" s="70"/>
      <c r="Q617" s="70"/>
      <c r="R617" s="70"/>
      <c r="S617" s="70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65"/>
      <c r="AO617" s="56"/>
      <c r="AP617" s="56"/>
      <c r="AQ617" s="56"/>
      <c r="AR617" s="56"/>
    </row>
    <row r="618">
      <c r="A618" s="65"/>
      <c r="B618" s="65"/>
      <c r="C618" s="65"/>
      <c r="D618" s="65"/>
      <c r="E618" s="65"/>
      <c r="F618" s="65"/>
      <c r="G618" s="65"/>
      <c r="H618" s="65"/>
      <c r="I618" s="69"/>
      <c r="J618" s="70"/>
      <c r="K618" s="70"/>
      <c r="L618" s="69"/>
      <c r="M618" s="70"/>
      <c r="N618" s="70"/>
      <c r="O618" s="70"/>
      <c r="P618" s="70"/>
      <c r="Q618" s="70"/>
      <c r="R618" s="70"/>
      <c r="S618" s="70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65"/>
      <c r="AO618" s="56"/>
      <c r="AP618" s="56"/>
      <c r="AQ618" s="56"/>
      <c r="AR618" s="56"/>
    </row>
    <row r="619">
      <c r="A619" s="65"/>
      <c r="B619" s="65"/>
      <c r="C619" s="65"/>
      <c r="D619" s="65"/>
      <c r="E619" s="65"/>
      <c r="F619" s="65"/>
      <c r="G619" s="65"/>
      <c r="H619" s="65"/>
      <c r="I619" s="69"/>
      <c r="J619" s="70"/>
      <c r="K619" s="70"/>
      <c r="L619" s="69"/>
      <c r="M619" s="70"/>
      <c r="N619" s="70"/>
      <c r="O619" s="70"/>
      <c r="P619" s="70"/>
      <c r="Q619" s="70"/>
      <c r="R619" s="70"/>
      <c r="S619" s="70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65"/>
      <c r="AO619" s="56"/>
      <c r="AP619" s="56"/>
      <c r="AQ619" s="56"/>
      <c r="AR619" s="56"/>
    </row>
    <row r="620">
      <c r="A620" s="65"/>
      <c r="B620" s="65"/>
      <c r="C620" s="65"/>
      <c r="D620" s="65"/>
      <c r="E620" s="65"/>
      <c r="F620" s="65"/>
      <c r="G620" s="65"/>
      <c r="H620" s="65"/>
      <c r="I620" s="69"/>
      <c r="J620" s="70"/>
      <c r="K620" s="70"/>
      <c r="L620" s="69"/>
      <c r="M620" s="70"/>
      <c r="N620" s="70"/>
      <c r="O620" s="70"/>
      <c r="P620" s="70"/>
      <c r="Q620" s="70"/>
      <c r="R620" s="70"/>
      <c r="S620" s="70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65"/>
      <c r="AO620" s="56"/>
      <c r="AP620" s="56"/>
      <c r="AQ620" s="56"/>
      <c r="AR620" s="56"/>
    </row>
    <row r="621">
      <c r="A621" s="65"/>
      <c r="B621" s="65"/>
      <c r="C621" s="65"/>
      <c r="D621" s="65"/>
      <c r="E621" s="65"/>
      <c r="F621" s="65"/>
      <c r="G621" s="65"/>
      <c r="H621" s="65"/>
      <c r="I621" s="69"/>
      <c r="J621" s="70"/>
      <c r="K621" s="70"/>
      <c r="L621" s="69"/>
      <c r="M621" s="70"/>
      <c r="N621" s="70"/>
      <c r="O621" s="70"/>
      <c r="P621" s="70"/>
      <c r="Q621" s="70"/>
      <c r="R621" s="70"/>
      <c r="S621" s="70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65"/>
      <c r="AO621" s="56"/>
      <c r="AP621" s="56"/>
      <c r="AQ621" s="56"/>
      <c r="AR621" s="56"/>
    </row>
    <row r="622">
      <c r="A622" s="65"/>
      <c r="B622" s="65"/>
      <c r="C622" s="65"/>
      <c r="D622" s="65"/>
      <c r="E622" s="65"/>
      <c r="F622" s="65"/>
      <c r="G622" s="65"/>
      <c r="H622" s="65"/>
      <c r="I622" s="69"/>
      <c r="J622" s="70"/>
      <c r="K622" s="70"/>
      <c r="L622" s="69"/>
      <c r="M622" s="70"/>
      <c r="N622" s="70"/>
      <c r="O622" s="70"/>
      <c r="P622" s="70"/>
      <c r="Q622" s="70"/>
      <c r="R622" s="70"/>
      <c r="S622" s="70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65"/>
      <c r="AO622" s="56"/>
      <c r="AP622" s="56"/>
      <c r="AQ622" s="56"/>
      <c r="AR622" s="56"/>
    </row>
    <row r="623">
      <c r="A623" s="65"/>
      <c r="B623" s="65"/>
      <c r="C623" s="65"/>
      <c r="D623" s="65"/>
      <c r="E623" s="65"/>
      <c r="F623" s="65"/>
      <c r="G623" s="65"/>
      <c r="H623" s="65"/>
      <c r="I623" s="69"/>
      <c r="J623" s="70"/>
      <c r="K623" s="70"/>
      <c r="L623" s="69"/>
      <c r="M623" s="70"/>
      <c r="N623" s="70"/>
      <c r="O623" s="70"/>
      <c r="P623" s="70"/>
      <c r="Q623" s="70"/>
      <c r="R623" s="70"/>
      <c r="S623" s="70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65"/>
      <c r="AO623" s="56"/>
      <c r="AP623" s="56"/>
      <c r="AQ623" s="56"/>
      <c r="AR623" s="56"/>
    </row>
    <row r="624">
      <c r="A624" s="65"/>
      <c r="B624" s="65"/>
      <c r="C624" s="65"/>
      <c r="D624" s="65"/>
      <c r="E624" s="65"/>
      <c r="F624" s="65"/>
      <c r="G624" s="65"/>
      <c r="H624" s="65"/>
      <c r="I624" s="69"/>
      <c r="J624" s="70"/>
      <c r="K624" s="70"/>
      <c r="L624" s="69"/>
      <c r="M624" s="70"/>
      <c r="N624" s="70"/>
      <c r="O624" s="70"/>
      <c r="P624" s="70"/>
      <c r="Q624" s="70"/>
      <c r="R624" s="70"/>
      <c r="S624" s="70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65"/>
      <c r="AO624" s="56"/>
      <c r="AP624" s="56"/>
      <c r="AQ624" s="56"/>
      <c r="AR624" s="56"/>
    </row>
    <row r="625">
      <c r="A625" s="65"/>
      <c r="B625" s="65"/>
      <c r="C625" s="65"/>
      <c r="D625" s="65"/>
      <c r="E625" s="65"/>
      <c r="F625" s="65"/>
      <c r="G625" s="65"/>
      <c r="H625" s="65"/>
      <c r="I625" s="69"/>
      <c r="J625" s="70"/>
      <c r="K625" s="70"/>
      <c r="L625" s="69"/>
      <c r="M625" s="70"/>
      <c r="N625" s="70"/>
      <c r="O625" s="70"/>
      <c r="P625" s="70"/>
      <c r="Q625" s="70"/>
      <c r="R625" s="70"/>
      <c r="S625" s="70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65"/>
      <c r="AO625" s="56"/>
      <c r="AP625" s="56"/>
      <c r="AQ625" s="56"/>
      <c r="AR625" s="56"/>
    </row>
    <row r="626">
      <c r="A626" s="65"/>
      <c r="B626" s="65"/>
      <c r="C626" s="65"/>
      <c r="D626" s="65"/>
      <c r="E626" s="65"/>
      <c r="F626" s="65"/>
      <c r="G626" s="65"/>
      <c r="H626" s="65"/>
      <c r="I626" s="69"/>
      <c r="J626" s="70"/>
      <c r="K626" s="70"/>
      <c r="L626" s="69"/>
      <c r="M626" s="70"/>
      <c r="N626" s="70"/>
      <c r="O626" s="70"/>
      <c r="P626" s="70"/>
      <c r="Q626" s="70"/>
      <c r="R626" s="70"/>
      <c r="S626" s="70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65"/>
      <c r="AO626" s="56"/>
      <c r="AP626" s="56"/>
      <c r="AQ626" s="56"/>
      <c r="AR626" s="56"/>
    </row>
    <row r="627">
      <c r="A627" s="65"/>
      <c r="B627" s="65"/>
      <c r="C627" s="65"/>
      <c r="D627" s="65"/>
      <c r="E627" s="65"/>
      <c r="F627" s="65"/>
      <c r="G627" s="65"/>
      <c r="H627" s="65"/>
      <c r="I627" s="69"/>
      <c r="J627" s="70"/>
      <c r="K627" s="70"/>
      <c r="L627" s="69"/>
      <c r="M627" s="70"/>
      <c r="N627" s="70"/>
      <c r="O627" s="70"/>
      <c r="P627" s="70"/>
      <c r="Q627" s="70"/>
      <c r="R627" s="70"/>
      <c r="S627" s="70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65"/>
      <c r="AO627" s="56"/>
      <c r="AP627" s="56"/>
      <c r="AQ627" s="56"/>
      <c r="AR627" s="56"/>
    </row>
    <row r="628">
      <c r="A628" s="65"/>
      <c r="B628" s="65"/>
      <c r="C628" s="65"/>
      <c r="D628" s="65"/>
      <c r="E628" s="65"/>
      <c r="F628" s="65"/>
      <c r="G628" s="65"/>
      <c r="H628" s="65"/>
      <c r="I628" s="69"/>
      <c r="J628" s="70"/>
      <c r="K628" s="70"/>
      <c r="L628" s="69"/>
      <c r="M628" s="70"/>
      <c r="N628" s="70"/>
      <c r="O628" s="70"/>
      <c r="P628" s="70"/>
      <c r="Q628" s="70"/>
      <c r="R628" s="70"/>
      <c r="S628" s="70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65"/>
      <c r="AO628" s="56"/>
      <c r="AP628" s="56"/>
      <c r="AQ628" s="56"/>
      <c r="AR628" s="56"/>
    </row>
    <row r="629">
      <c r="A629" s="65"/>
      <c r="B629" s="65"/>
      <c r="C629" s="65"/>
      <c r="D629" s="65"/>
      <c r="E629" s="65"/>
      <c r="F629" s="65"/>
      <c r="G629" s="65"/>
      <c r="H629" s="65"/>
      <c r="I629" s="69"/>
      <c r="J629" s="70"/>
      <c r="K629" s="70"/>
      <c r="L629" s="69"/>
      <c r="M629" s="70"/>
      <c r="N629" s="70"/>
      <c r="O629" s="70"/>
      <c r="P629" s="70"/>
      <c r="Q629" s="70"/>
      <c r="R629" s="70"/>
      <c r="S629" s="70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65"/>
      <c r="AO629" s="56"/>
      <c r="AP629" s="56"/>
      <c r="AQ629" s="56"/>
      <c r="AR629" s="56"/>
    </row>
    <row r="630">
      <c r="A630" s="65"/>
      <c r="B630" s="65"/>
      <c r="C630" s="65"/>
      <c r="D630" s="65"/>
      <c r="E630" s="65"/>
      <c r="F630" s="65"/>
      <c r="G630" s="65"/>
      <c r="H630" s="65"/>
      <c r="I630" s="69"/>
      <c r="J630" s="70"/>
      <c r="K630" s="70"/>
      <c r="L630" s="69"/>
      <c r="M630" s="70"/>
      <c r="N630" s="70"/>
      <c r="O630" s="70"/>
      <c r="P630" s="70"/>
      <c r="Q630" s="70"/>
      <c r="R630" s="70"/>
      <c r="S630" s="70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65"/>
      <c r="AO630" s="56"/>
      <c r="AP630" s="56"/>
      <c r="AQ630" s="56"/>
      <c r="AR630" s="56"/>
    </row>
    <row r="631">
      <c r="A631" s="65"/>
      <c r="B631" s="65"/>
      <c r="C631" s="65"/>
      <c r="D631" s="65"/>
      <c r="E631" s="65"/>
      <c r="F631" s="65"/>
      <c r="G631" s="65"/>
      <c r="H631" s="65"/>
      <c r="I631" s="69"/>
      <c r="J631" s="70"/>
      <c r="K631" s="70"/>
      <c r="L631" s="69"/>
      <c r="M631" s="70"/>
      <c r="N631" s="70"/>
      <c r="O631" s="70"/>
      <c r="P631" s="70"/>
      <c r="Q631" s="70"/>
      <c r="R631" s="70"/>
      <c r="S631" s="70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65"/>
      <c r="AO631" s="56"/>
      <c r="AP631" s="56"/>
      <c r="AQ631" s="56"/>
      <c r="AR631" s="56"/>
    </row>
    <row r="632">
      <c r="A632" s="65"/>
      <c r="B632" s="65"/>
      <c r="C632" s="65"/>
      <c r="D632" s="65"/>
      <c r="E632" s="65"/>
      <c r="F632" s="65"/>
      <c r="G632" s="65"/>
      <c r="H632" s="65"/>
      <c r="I632" s="69"/>
      <c r="J632" s="70"/>
      <c r="K632" s="70"/>
      <c r="L632" s="69"/>
      <c r="M632" s="70"/>
      <c r="N632" s="70"/>
      <c r="O632" s="70"/>
      <c r="P632" s="70"/>
      <c r="Q632" s="70"/>
      <c r="R632" s="70"/>
      <c r="S632" s="70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65"/>
      <c r="AO632" s="56"/>
      <c r="AP632" s="56"/>
      <c r="AQ632" s="56"/>
      <c r="AR632" s="56"/>
    </row>
    <row r="633">
      <c r="A633" s="65"/>
      <c r="B633" s="65"/>
      <c r="C633" s="65"/>
      <c r="D633" s="65"/>
      <c r="E633" s="65"/>
      <c r="F633" s="65"/>
      <c r="G633" s="65"/>
      <c r="H633" s="65"/>
      <c r="I633" s="69"/>
      <c r="J633" s="70"/>
      <c r="K633" s="70"/>
      <c r="L633" s="69"/>
      <c r="M633" s="70"/>
      <c r="N633" s="70"/>
      <c r="O633" s="70"/>
      <c r="P633" s="70"/>
      <c r="Q633" s="70"/>
      <c r="R633" s="70"/>
      <c r="S633" s="70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65"/>
      <c r="AO633" s="56"/>
      <c r="AP633" s="56"/>
      <c r="AQ633" s="56"/>
      <c r="AR633" s="56"/>
    </row>
    <row r="634">
      <c r="A634" s="65"/>
      <c r="B634" s="65"/>
      <c r="C634" s="65"/>
      <c r="D634" s="65"/>
      <c r="E634" s="65"/>
      <c r="F634" s="65"/>
      <c r="G634" s="65"/>
      <c r="H634" s="65"/>
      <c r="I634" s="69"/>
      <c r="J634" s="70"/>
      <c r="K634" s="70"/>
      <c r="L634" s="69"/>
      <c r="M634" s="70"/>
      <c r="N634" s="70"/>
      <c r="O634" s="70"/>
      <c r="P634" s="70"/>
      <c r="Q634" s="70"/>
      <c r="R634" s="70"/>
      <c r="S634" s="70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65"/>
      <c r="AO634" s="56"/>
      <c r="AP634" s="56"/>
      <c r="AQ634" s="56"/>
      <c r="AR634" s="56"/>
    </row>
    <row r="635">
      <c r="A635" s="65"/>
      <c r="B635" s="65"/>
      <c r="C635" s="65"/>
      <c r="D635" s="65"/>
      <c r="E635" s="65"/>
      <c r="F635" s="65"/>
      <c r="G635" s="65"/>
      <c r="H635" s="65"/>
      <c r="I635" s="69"/>
      <c r="J635" s="70"/>
      <c r="K635" s="70"/>
      <c r="L635" s="69"/>
      <c r="M635" s="70"/>
      <c r="N635" s="70"/>
      <c r="O635" s="70"/>
      <c r="P635" s="70"/>
      <c r="Q635" s="70"/>
      <c r="R635" s="70"/>
      <c r="S635" s="70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65"/>
      <c r="AO635" s="56"/>
      <c r="AP635" s="56"/>
      <c r="AQ635" s="56"/>
      <c r="AR635" s="56"/>
    </row>
    <row r="636">
      <c r="A636" s="65"/>
      <c r="B636" s="65"/>
      <c r="C636" s="65"/>
      <c r="D636" s="65"/>
      <c r="E636" s="65"/>
      <c r="F636" s="65"/>
      <c r="G636" s="65"/>
      <c r="H636" s="65"/>
      <c r="I636" s="69"/>
      <c r="J636" s="70"/>
      <c r="K636" s="70"/>
      <c r="L636" s="69"/>
      <c r="M636" s="70"/>
      <c r="N636" s="70"/>
      <c r="O636" s="70"/>
      <c r="P636" s="70"/>
      <c r="Q636" s="70"/>
      <c r="R636" s="70"/>
      <c r="S636" s="70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65"/>
      <c r="AO636" s="56"/>
      <c r="AP636" s="56"/>
      <c r="AQ636" s="56"/>
      <c r="AR636" s="56"/>
    </row>
    <row r="637">
      <c r="A637" s="65"/>
      <c r="B637" s="65"/>
      <c r="C637" s="65"/>
      <c r="D637" s="65"/>
      <c r="E637" s="65"/>
      <c r="F637" s="65"/>
      <c r="G637" s="65"/>
      <c r="H637" s="65"/>
      <c r="I637" s="69"/>
      <c r="J637" s="70"/>
      <c r="K637" s="70"/>
      <c r="L637" s="69"/>
      <c r="M637" s="70"/>
      <c r="N637" s="70"/>
      <c r="O637" s="70"/>
      <c r="P637" s="70"/>
      <c r="Q637" s="70"/>
      <c r="R637" s="70"/>
      <c r="S637" s="70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65"/>
      <c r="AO637" s="56"/>
      <c r="AP637" s="56"/>
      <c r="AQ637" s="56"/>
      <c r="AR637" s="56"/>
    </row>
    <row r="638">
      <c r="A638" s="65"/>
      <c r="B638" s="65"/>
      <c r="C638" s="65"/>
      <c r="D638" s="65"/>
      <c r="E638" s="65"/>
      <c r="F638" s="65"/>
      <c r="G638" s="65"/>
      <c r="H638" s="65"/>
      <c r="I638" s="69"/>
      <c r="J638" s="70"/>
      <c r="K638" s="70"/>
      <c r="L638" s="69"/>
      <c r="M638" s="70"/>
      <c r="N638" s="70"/>
      <c r="O638" s="70"/>
      <c r="P638" s="70"/>
      <c r="Q638" s="70"/>
      <c r="R638" s="70"/>
      <c r="S638" s="70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65"/>
      <c r="AO638" s="56"/>
      <c r="AP638" s="56"/>
      <c r="AQ638" s="56"/>
      <c r="AR638" s="56"/>
    </row>
    <row r="639">
      <c r="A639" s="65"/>
      <c r="B639" s="65"/>
      <c r="C639" s="65"/>
      <c r="D639" s="65"/>
      <c r="E639" s="65"/>
      <c r="F639" s="65"/>
      <c r="G639" s="65"/>
      <c r="H639" s="65"/>
      <c r="I639" s="69"/>
      <c r="J639" s="70"/>
      <c r="K639" s="70"/>
      <c r="L639" s="69"/>
      <c r="M639" s="70"/>
      <c r="N639" s="70"/>
      <c r="O639" s="70"/>
      <c r="P639" s="70"/>
      <c r="Q639" s="70"/>
      <c r="R639" s="70"/>
      <c r="S639" s="70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65"/>
      <c r="AO639" s="56"/>
      <c r="AP639" s="56"/>
      <c r="AQ639" s="56"/>
      <c r="AR639" s="56"/>
    </row>
    <row r="640">
      <c r="A640" s="65"/>
      <c r="B640" s="65"/>
      <c r="C640" s="65"/>
      <c r="D640" s="65"/>
      <c r="E640" s="65"/>
      <c r="F640" s="65"/>
      <c r="G640" s="65"/>
      <c r="H640" s="65"/>
      <c r="I640" s="69"/>
      <c r="J640" s="70"/>
      <c r="K640" s="70"/>
      <c r="L640" s="69"/>
      <c r="M640" s="70"/>
      <c r="N640" s="70"/>
      <c r="O640" s="70"/>
      <c r="P640" s="70"/>
      <c r="Q640" s="70"/>
      <c r="R640" s="70"/>
      <c r="S640" s="70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65"/>
      <c r="AO640" s="56"/>
      <c r="AP640" s="56"/>
      <c r="AQ640" s="56"/>
      <c r="AR640" s="56"/>
    </row>
    <row r="641">
      <c r="A641" s="65"/>
      <c r="B641" s="65"/>
      <c r="C641" s="65"/>
      <c r="D641" s="65"/>
      <c r="E641" s="65"/>
      <c r="F641" s="65"/>
      <c r="G641" s="65"/>
      <c r="H641" s="65"/>
      <c r="I641" s="69"/>
      <c r="J641" s="70"/>
      <c r="K641" s="70"/>
      <c r="L641" s="69"/>
      <c r="M641" s="70"/>
      <c r="N641" s="70"/>
      <c r="O641" s="70"/>
      <c r="P641" s="70"/>
      <c r="Q641" s="70"/>
      <c r="R641" s="70"/>
      <c r="S641" s="70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65"/>
      <c r="AO641" s="56"/>
      <c r="AP641" s="56"/>
      <c r="AQ641" s="56"/>
      <c r="AR641" s="56"/>
    </row>
    <row r="642">
      <c r="A642" s="65"/>
      <c r="B642" s="65"/>
      <c r="C642" s="65"/>
      <c r="D642" s="65"/>
      <c r="E642" s="65"/>
      <c r="F642" s="65"/>
      <c r="G642" s="65"/>
      <c r="H642" s="65"/>
      <c r="I642" s="69"/>
      <c r="J642" s="70"/>
      <c r="K642" s="70"/>
      <c r="L642" s="69"/>
      <c r="M642" s="70"/>
      <c r="N642" s="70"/>
      <c r="O642" s="70"/>
      <c r="P642" s="70"/>
      <c r="Q642" s="70"/>
      <c r="R642" s="70"/>
      <c r="S642" s="70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65"/>
      <c r="AO642" s="56"/>
      <c r="AP642" s="56"/>
      <c r="AQ642" s="56"/>
      <c r="AR642" s="56"/>
    </row>
    <row r="643">
      <c r="A643" s="65"/>
      <c r="B643" s="65"/>
      <c r="C643" s="65"/>
      <c r="D643" s="65"/>
      <c r="E643" s="65"/>
      <c r="F643" s="65"/>
      <c r="G643" s="65"/>
      <c r="H643" s="65"/>
      <c r="I643" s="69"/>
      <c r="J643" s="70"/>
      <c r="K643" s="70"/>
      <c r="L643" s="69"/>
      <c r="M643" s="70"/>
      <c r="N643" s="70"/>
      <c r="O643" s="70"/>
      <c r="P643" s="70"/>
      <c r="Q643" s="70"/>
      <c r="R643" s="70"/>
      <c r="S643" s="70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65"/>
      <c r="AO643" s="56"/>
      <c r="AP643" s="56"/>
      <c r="AQ643" s="56"/>
      <c r="AR643" s="56"/>
    </row>
    <row r="644">
      <c r="A644" s="65"/>
      <c r="B644" s="65"/>
      <c r="C644" s="65"/>
      <c r="D644" s="65"/>
      <c r="E644" s="65"/>
      <c r="F644" s="65"/>
      <c r="G644" s="65"/>
      <c r="H644" s="65"/>
      <c r="I644" s="69"/>
      <c r="J644" s="70"/>
      <c r="K644" s="70"/>
      <c r="L644" s="69"/>
      <c r="M644" s="70"/>
      <c r="N644" s="70"/>
      <c r="O644" s="70"/>
      <c r="P644" s="70"/>
      <c r="Q644" s="70"/>
      <c r="R644" s="70"/>
      <c r="S644" s="70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65"/>
      <c r="AO644" s="56"/>
      <c r="AP644" s="56"/>
      <c r="AQ644" s="56"/>
      <c r="AR644" s="56"/>
    </row>
    <row r="645">
      <c r="A645" s="65"/>
      <c r="B645" s="65"/>
      <c r="C645" s="65"/>
      <c r="D645" s="65"/>
      <c r="E645" s="65"/>
      <c r="F645" s="65"/>
      <c r="G645" s="65"/>
      <c r="H645" s="65"/>
      <c r="I645" s="69"/>
      <c r="J645" s="70"/>
      <c r="K645" s="70"/>
      <c r="L645" s="69"/>
      <c r="M645" s="70"/>
      <c r="N645" s="70"/>
      <c r="O645" s="70"/>
      <c r="P645" s="70"/>
      <c r="Q645" s="70"/>
      <c r="R645" s="70"/>
      <c r="S645" s="70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65"/>
      <c r="AO645" s="56"/>
      <c r="AP645" s="56"/>
      <c r="AQ645" s="56"/>
      <c r="AR645" s="56"/>
    </row>
    <row r="646">
      <c r="A646" s="65"/>
      <c r="B646" s="65"/>
      <c r="C646" s="65"/>
      <c r="D646" s="65"/>
      <c r="E646" s="65"/>
      <c r="F646" s="65"/>
      <c r="G646" s="65"/>
      <c r="H646" s="65"/>
      <c r="I646" s="69"/>
      <c r="J646" s="70"/>
      <c r="K646" s="70"/>
      <c r="L646" s="69"/>
      <c r="M646" s="70"/>
      <c r="N646" s="70"/>
      <c r="O646" s="70"/>
      <c r="P646" s="70"/>
      <c r="Q646" s="70"/>
      <c r="R646" s="70"/>
      <c r="S646" s="70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65"/>
      <c r="AO646" s="56"/>
      <c r="AP646" s="56"/>
      <c r="AQ646" s="56"/>
      <c r="AR646" s="56"/>
    </row>
    <row r="647">
      <c r="A647" s="65"/>
      <c r="B647" s="65"/>
      <c r="C647" s="65"/>
      <c r="D647" s="65"/>
      <c r="E647" s="65"/>
      <c r="F647" s="65"/>
      <c r="G647" s="65"/>
      <c r="H647" s="65"/>
      <c r="I647" s="69"/>
      <c r="J647" s="70"/>
      <c r="K647" s="70"/>
      <c r="L647" s="69"/>
      <c r="M647" s="70"/>
      <c r="N647" s="70"/>
      <c r="O647" s="70"/>
      <c r="P647" s="70"/>
      <c r="Q647" s="70"/>
      <c r="R647" s="70"/>
      <c r="S647" s="70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65"/>
      <c r="AO647" s="56"/>
      <c r="AP647" s="56"/>
      <c r="AQ647" s="56"/>
      <c r="AR647" s="56"/>
    </row>
    <row r="648">
      <c r="A648" s="65"/>
      <c r="B648" s="65"/>
      <c r="C648" s="65"/>
      <c r="D648" s="65"/>
      <c r="E648" s="65"/>
      <c r="F648" s="65"/>
      <c r="G648" s="65"/>
      <c r="H648" s="65"/>
      <c r="I648" s="69"/>
      <c r="J648" s="70"/>
      <c r="K648" s="70"/>
      <c r="L648" s="69"/>
      <c r="M648" s="70"/>
      <c r="N648" s="70"/>
      <c r="O648" s="70"/>
      <c r="P648" s="70"/>
      <c r="Q648" s="70"/>
      <c r="R648" s="70"/>
      <c r="S648" s="70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65"/>
      <c r="AO648" s="56"/>
      <c r="AP648" s="56"/>
      <c r="AQ648" s="56"/>
      <c r="AR648" s="56"/>
    </row>
    <row r="649">
      <c r="A649" s="65"/>
      <c r="B649" s="65"/>
      <c r="C649" s="65"/>
      <c r="D649" s="65"/>
      <c r="E649" s="65"/>
      <c r="F649" s="65"/>
      <c r="G649" s="65"/>
      <c r="H649" s="65"/>
      <c r="I649" s="69"/>
      <c r="J649" s="70"/>
      <c r="K649" s="70"/>
      <c r="L649" s="69"/>
      <c r="M649" s="70"/>
      <c r="N649" s="70"/>
      <c r="O649" s="70"/>
      <c r="P649" s="70"/>
      <c r="Q649" s="70"/>
      <c r="R649" s="70"/>
      <c r="S649" s="70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65"/>
      <c r="AO649" s="56"/>
      <c r="AP649" s="56"/>
      <c r="AQ649" s="56"/>
      <c r="AR649" s="56"/>
    </row>
    <row r="650">
      <c r="A650" s="65"/>
      <c r="B650" s="65"/>
      <c r="C650" s="65"/>
      <c r="D650" s="65"/>
      <c r="E650" s="65"/>
      <c r="F650" s="65"/>
      <c r="G650" s="65"/>
      <c r="H650" s="65"/>
      <c r="I650" s="69"/>
      <c r="J650" s="70"/>
      <c r="K650" s="70"/>
      <c r="L650" s="69"/>
      <c r="M650" s="70"/>
      <c r="N650" s="70"/>
      <c r="O650" s="70"/>
      <c r="P650" s="70"/>
      <c r="Q650" s="70"/>
      <c r="R650" s="70"/>
      <c r="S650" s="70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65"/>
      <c r="AO650" s="56"/>
      <c r="AP650" s="56"/>
      <c r="AQ650" s="56"/>
      <c r="AR650" s="56"/>
    </row>
    <row r="651">
      <c r="A651" s="65"/>
      <c r="B651" s="65"/>
      <c r="C651" s="65"/>
      <c r="D651" s="65"/>
      <c r="E651" s="65"/>
      <c r="F651" s="65"/>
      <c r="G651" s="65"/>
      <c r="H651" s="65"/>
      <c r="I651" s="69"/>
      <c r="J651" s="70"/>
      <c r="K651" s="70"/>
      <c r="L651" s="69"/>
      <c r="M651" s="70"/>
      <c r="N651" s="70"/>
      <c r="O651" s="70"/>
      <c r="P651" s="70"/>
      <c r="Q651" s="70"/>
      <c r="R651" s="70"/>
      <c r="S651" s="70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65"/>
      <c r="AO651" s="56"/>
      <c r="AP651" s="56"/>
      <c r="AQ651" s="56"/>
      <c r="AR651" s="56"/>
    </row>
    <row r="652">
      <c r="A652" s="65"/>
      <c r="B652" s="65"/>
      <c r="C652" s="65"/>
      <c r="D652" s="65"/>
      <c r="E652" s="65"/>
      <c r="F652" s="65"/>
      <c r="G652" s="65"/>
      <c r="H652" s="65"/>
      <c r="I652" s="69"/>
      <c r="J652" s="70"/>
      <c r="K652" s="70"/>
      <c r="L652" s="69"/>
      <c r="M652" s="70"/>
      <c r="N652" s="70"/>
      <c r="O652" s="70"/>
      <c r="P652" s="70"/>
      <c r="Q652" s="70"/>
      <c r="R652" s="70"/>
      <c r="S652" s="70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65"/>
      <c r="AO652" s="56"/>
      <c r="AP652" s="56"/>
      <c r="AQ652" s="56"/>
      <c r="AR652" s="56"/>
    </row>
    <row r="653">
      <c r="A653" s="65"/>
      <c r="B653" s="65"/>
      <c r="C653" s="65"/>
      <c r="D653" s="65"/>
      <c r="E653" s="65"/>
      <c r="F653" s="65"/>
      <c r="G653" s="65"/>
      <c r="H653" s="65"/>
      <c r="I653" s="69"/>
      <c r="J653" s="70"/>
      <c r="K653" s="70"/>
      <c r="L653" s="69"/>
      <c r="M653" s="70"/>
      <c r="N653" s="70"/>
      <c r="O653" s="70"/>
      <c r="P653" s="70"/>
      <c r="Q653" s="70"/>
      <c r="R653" s="70"/>
      <c r="S653" s="70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65"/>
      <c r="AO653" s="56"/>
      <c r="AP653" s="56"/>
      <c r="AQ653" s="56"/>
      <c r="AR653" s="56"/>
    </row>
    <row r="654">
      <c r="A654" s="65"/>
      <c r="B654" s="65"/>
      <c r="C654" s="65"/>
      <c r="D654" s="65"/>
      <c r="E654" s="65"/>
      <c r="F654" s="65"/>
      <c r="G654" s="65"/>
      <c r="H654" s="65"/>
      <c r="I654" s="69"/>
      <c r="J654" s="70"/>
      <c r="K654" s="70"/>
      <c r="L654" s="69"/>
      <c r="M654" s="70"/>
      <c r="N654" s="70"/>
      <c r="O654" s="70"/>
      <c r="P654" s="70"/>
      <c r="Q654" s="70"/>
      <c r="R654" s="70"/>
      <c r="S654" s="70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65"/>
      <c r="AO654" s="56"/>
      <c r="AP654" s="56"/>
      <c r="AQ654" s="56"/>
      <c r="AR654" s="56"/>
    </row>
    <row r="655">
      <c r="A655" s="65"/>
      <c r="B655" s="65"/>
      <c r="C655" s="65"/>
      <c r="D655" s="65"/>
      <c r="E655" s="65"/>
      <c r="F655" s="65"/>
      <c r="G655" s="65"/>
      <c r="H655" s="65"/>
      <c r="I655" s="69"/>
      <c r="J655" s="70"/>
      <c r="K655" s="70"/>
      <c r="L655" s="69"/>
      <c r="M655" s="70"/>
      <c r="N655" s="70"/>
      <c r="O655" s="70"/>
      <c r="P655" s="70"/>
      <c r="Q655" s="70"/>
      <c r="R655" s="70"/>
      <c r="S655" s="70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65"/>
      <c r="AO655" s="56"/>
      <c r="AP655" s="56"/>
      <c r="AQ655" s="56"/>
      <c r="AR655" s="56"/>
    </row>
    <row r="656">
      <c r="A656" s="65"/>
      <c r="B656" s="65"/>
      <c r="C656" s="65"/>
      <c r="D656" s="65"/>
      <c r="E656" s="65"/>
      <c r="F656" s="65"/>
      <c r="G656" s="65"/>
      <c r="H656" s="65"/>
      <c r="I656" s="69"/>
      <c r="J656" s="70"/>
      <c r="K656" s="70"/>
      <c r="L656" s="69"/>
      <c r="M656" s="70"/>
      <c r="N656" s="70"/>
      <c r="O656" s="70"/>
      <c r="P656" s="70"/>
      <c r="Q656" s="70"/>
      <c r="R656" s="70"/>
      <c r="S656" s="70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65"/>
      <c r="AO656" s="56"/>
      <c r="AP656" s="56"/>
      <c r="AQ656" s="56"/>
      <c r="AR656" s="56"/>
    </row>
    <row r="657">
      <c r="A657" s="65"/>
      <c r="B657" s="65"/>
      <c r="C657" s="65"/>
      <c r="D657" s="65"/>
      <c r="E657" s="65"/>
      <c r="F657" s="65"/>
      <c r="G657" s="65"/>
      <c r="H657" s="65"/>
      <c r="I657" s="69"/>
      <c r="J657" s="70"/>
      <c r="K657" s="70"/>
      <c r="L657" s="69"/>
      <c r="M657" s="70"/>
      <c r="N657" s="70"/>
      <c r="O657" s="70"/>
      <c r="P657" s="70"/>
      <c r="Q657" s="70"/>
      <c r="R657" s="70"/>
      <c r="S657" s="70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65"/>
      <c r="AO657" s="56"/>
      <c r="AP657" s="56"/>
      <c r="AQ657" s="56"/>
      <c r="AR657" s="56"/>
    </row>
    <row r="658">
      <c r="A658" s="65"/>
      <c r="B658" s="65"/>
      <c r="C658" s="65"/>
      <c r="D658" s="65"/>
      <c r="E658" s="65"/>
      <c r="F658" s="65"/>
      <c r="G658" s="65"/>
      <c r="H658" s="65"/>
      <c r="I658" s="69"/>
      <c r="J658" s="70"/>
      <c r="K658" s="70"/>
      <c r="L658" s="69"/>
      <c r="M658" s="70"/>
      <c r="N658" s="70"/>
      <c r="O658" s="70"/>
      <c r="P658" s="70"/>
      <c r="Q658" s="70"/>
      <c r="R658" s="70"/>
      <c r="S658" s="70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65"/>
      <c r="AO658" s="56"/>
      <c r="AP658" s="56"/>
      <c r="AQ658" s="56"/>
      <c r="AR658" s="56"/>
    </row>
    <row r="659">
      <c r="A659" s="65"/>
      <c r="B659" s="65"/>
      <c r="C659" s="65"/>
      <c r="D659" s="65"/>
      <c r="E659" s="65"/>
      <c r="F659" s="65"/>
      <c r="G659" s="65"/>
      <c r="H659" s="65"/>
      <c r="I659" s="69"/>
      <c r="J659" s="70"/>
      <c r="K659" s="70"/>
      <c r="L659" s="69"/>
      <c r="M659" s="70"/>
      <c r="N659" s="70"/>
      <c r="O659" s="70"/>
      <c r="P659" s="70"/>
      <c r="Q659" s="70"/>
      <c r="R659" s="70"/>
      <c r="S659" s="70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65"/>
      <c r="AO659" s="56"/>
      <c r="AP659" s="56"/>
      <c r="AQ659" s="56"/>
      <c r="AR659" s="56"/>
    </row>
    <row r="660">
      <c r="A660" s="65"/>
      <c r="B660" s="65"/>
      <c r="C660" s="65"/>
      <c r="D660" s="65"/>
      <c r="E660" s="65"/>
      <c r="F660" s="65"/>
      <c r="G660" s="65"/>
      <c r="H660" s="65"/>
      <c r="I660" s="69"/>
      <c r="J660" s="70"/>
      <c r="K660" s="70"/>
      <c r="L660" s="69"/>
      <c r="M660" s="70"/>
      <c r="N660" s="70"/>
      <c r="O660" s="70"/>
      <c r="P660" s="70"/>
      <c r="Q660" s="70"/>
      <c r="R660" s="70"/>
      <c r="S660" s="70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65"/>
      <c r="AO660" s="56"/>
      <c r="AP660" s="56"/>
      <c r="AQ660" s="56"/>
      <c r="AR660" s="56"/>
    </row>
    <row r="661">
      <c r="A661" s="65"/>
      <c r="B661" s="65"/>
      <c r="C661" s="65"/>
      <c r="D661" s="65"/>
      <c r="E661" s="65"/>
      <c r="F661" s="65"/>
      <c r="G661" s="65"/>
      <c r="H661" s="65"/>
      <c r="I661" s="69"/>
      <c r="J661" s="70"/>
      <c r="K661" s="70"/>
      <c r="L661" s="69"/>
      <c r="M661" s="70"/>
      <c r="N661" s="70"/>
      <c r="O661" s="70"/>
      <c r="P661" s="70"/>
      <c r="Q661" s="70"/>
      <c r="R661" s="70"/>
      <c r="S661" s="70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65"/>
      <c r="AO661" s="56"/>
      <c r="AP661" s="56"/>
      <c r="AQ661" s="56"/>
      <c r="AR661" s="56"/>
    </row>
    <row r="662">
      <c r="A662" s="65"/>
      <c r="B662" s="65"/>
      <c r="C662" s="65"/>
      <c r="D662" s="65"/>
      <c r="E662" s="65"/>
      <c r="F662" s="65"/>
      <c r="G662" s="65"/>
      <c r="H662" s="65"/>
      <c r="I662" s="69"/>
      <c r="J662" s="70"/>
      <c r="K662" s="70"/>
      <c r="L662" s="69"/>
      <c r="M662" s="70"/>
      <c r="N662" s="70"/>
      <c r="O662" s="70"/>
      <c r="P662" s="70"/>
      <c r="Q662" s="70"/>
      <c r="R662" s="70"/>
      <c r="S662" s="70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65"/>
      <c r="AO662" s="56"/>
      <c r="AP662" s="56"/>
      <c r="AQ662" s="56"/>
      <c r="AR662" s="56"/>
    </row>
    <row r="663">
      <c r="A663" s="65"/>
      <c r="B663" s="65"/>
      <c r="C663" s="65"/>
      <c r="D663" s="65"/>
      <c r="E663" s="65"/>
      <c r="F663" s="65"/>
      <c r="G663" s="65"/>
      <c r="H663" s="65"/>
      <c r="I663" s="69"/>
      <c r="J663" s="70"/>
      <c r="K663" s="70"/>
      <c r="L663" s="69"/>
      <c r="M663" s="70"/>
      <c r="N663" s="70"/>
      <c r="O663" s="70"/>
      <c r="P663" s="70"/>
      <c r="Q663" s="70"/>
      <c r="R663" s="70"/>
      <c r="S663" s="70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65"/>
      <c r="AO663" s="56"/>
      <c r="AP663" s="56"/>
      <c r="AQ663" s="56"/>
      <c r="AR663" s="56"/>
    </row>
    <row r="664">
      <c r="A664" s="65"/>
      <c r="B664" s="65"/>
      <c r="C664" s="65"/>
      <c r="D664" s="65"/>
      <c r="E664" s="65"/>
      <c r="F664" s="65"/>
      <c r="G664" s="65"/>
      <c r="H664" s="65"/>
      <c r="I664" s="69"/>
      <c r="J664" s="70"/>
      <c r="K664" s="70"/>
      <c r="L664" s="69"/>
      <c r="M664" s="70"/>
      <c r="N664" s="70"/>
      <c r="O664" s="70"/>
      <c r="P664" s="70"/>
      <c r="Q664" s="70"/>
      <c r="R664" s="70"/>
      <c r="S664" s="70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65"/>
      <c r="AO664" s="56"/>
      <c r="AP664" s="56"/>
      <c r="AQ664" s="56"/>
      <c r="AR664" s="56"/>
    </row>
    <row r="665">
      <c r="A665" s="65"/>
      <c r="B665" s="65"/>
      <c r="C665" s="65"/>
      <c r="D665" s="65"/>
      <c r="E665" s="65"/>
      <c r="F665" s="65"/>
      <c r="G665" s="65"/>
      <c r="H665" s="65"/>
      <c r="I665" s="69"/>
      <c r="J665" s="70"/>
      <c r="K665" s="70"/>
      <c r="L665" s="69"/>
      <c r="M665" s="70"/>
      <c r="N665" s="70"/>
      <c r="O665" s="70"/>
      <c r="P665" s="70"/>
      <c r="Q665" s="70"/>
      <c r="R665" s="70"/>
      <c r="S665" s="70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65"/>
      <c r="AO665" s="56"/>
      <c r="AP665" s="56"/>
      <c r="AQ665" s="56"/>
      <c r="AR665" s="56"/>
    </row>
    <row r="666">
      <c r="A666" s="65"/>
      <c r="B666" s="65"/>
      <c r="C666" s="65"/>
      <c r="D666" s="65"/>
      <c r="E666" s="65"/>
      <c r="F666" s="65"/>
      <c r="G666" s="65"/>
      <c r="H666" s="65"/>
      <c r="I666" s="69"/>
      <c r="J666" s="70"/>
      <c r="K666" s="70"/>
      <c r="L666" s="69"/>
      <c r="M666" s="70"/>
      <c r="N666" s="70"/>
      <c r="O666" s="70"/>
      <c r="P666" s="70"/>
      <c r="Q666" s="70"/>
      <c r="R666" s="70"/>
      <c r="S666" s="70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65"/>
      <c r="AO666" s="56"/>
      <c r="AP666" s="56"/>
      <c r="AQ666" s="56"/>
      <c r="AR666" s="56"/>
    </row>
    <row r="667">
      <c r="A667" s="65"/>
      <c r="B667" s="65"/>
      <c r="C667" s="65"/>
      <c r="D667" s="65"/>
      <c r="E667" s="65"/>
      <c r="F667" s="65"/>
      <c r="G667" s="65"/>
      <c r="H667" s="65"/>
      <c r="I667" s="69"/>
      <c r="J667" s="70"/>
      <c r="K667" s="70"/>
      <c r="L667" s="69"/>
      <c r="M667" s="70"/>
      <c r="N667" s="70"/>
      <c r="O667" s="70"/>
      <c r="P667" s="70"/>
      <c r="Q667" s="70"/>
      <c r="R667" s="70"/>
      <c r="S667" s="70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65"/>
      <c r="AO667" s="56"/>
      <c r="AP667" s="56"/>
      <c r="AQ667" s="56"/>
      <c r="AR667" s="56"/>
    </row>
    <row r="668">
      <c r="A668" s="65"/>
      <c r="B668" s="65"/>
      <c r="C668" s="65"/>
      <c r="D668" s="65"/>
      <c r="E668" s="65"/>
      <c r="F668" s="65"/>
      <c r="G668" s="65"/>
      <c r="H668" s="65"/>
      <c r="I668" s="69"/>
      <c r="J668" s="70"/>
      <c r="K668" s="70"/>
      <c r="L668" s="69"/>
      <c r="M668" s="70"/>
      <c r="N668" s="70"/>
      <c r="O668" s="70"/>
      <c r="P668" s="70"/>
      <c r="Q668" s="70"/>
      <c r="R668" s="70"/>
      <c r="S668" s="70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65"/>
      <c r="AO668" s="56"/>
      <c r="AP668" s="56"/>
      <c r="AQ668" s="56"/>
      <c r="AR668" s="56"/>
    </row>
    <row r="669">
      <c r="A669" s="65"/>
      <c r="B669" s="65"/>
      <c r="C669" s="65"/>
      <c r="D669" s="65"/>
      <c r="E669" s="65"/>
      <c r="F669" s="65"/>
      <c r="G669" s="65"/>
      <c r="H669" s="65"/>
      <c r="I669" s="69"/>
      <c r="J669" s="70"/>
      <c r="K669" s="70"/>
      <c r="L669" s="69"/>
      <c r="M669" s="70"/>
      <c r="N669" s="70"/>
      <c r="O669" s="70"/>
      <c r="P669" s="70"/>
      <c r="Q669" s="70"/>
      <c r="R669" s="70"/>
      <c r="S669" s="70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65"/>
      <c r="AO669" s="56"/>
      <c r="AP669" s="56"/>
      <c r="AQ669" s="56"/>
      <c r="AR669" s="56"/>
    </row>
    <row r="670">
      <c r="A670" s="65"/>
      <c r="B670" s="65"/>
      <c r="C670" s="65"/>
      <c r="D670" s="65"/>
      <c r="E670" s="65"/>
      <c r="F670" s="65"/>
      <c r="G670" s="65"/>
      <c r="H670" s="65"/>
      <c r="I670" s="69"/>
      <c r="J670" s="70"/>
      <c r="K670" s="70"/>
      <c r="L670" s="69"/>
      <c r="M670" s="70"/>
      <c r="N670" s="70"/>
      <c r="O670" s="70"/>
      <c r="P670" s="70"/>
      <c r="Q670" s="70"/>
      <c r="R670" s="70"/>
      <c r="S670" s="70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65"/>
      <c r="AO670" s="56"/>
      <c r="AP670" s="56"/>
      <c r="AQ670" s="56"/>
      <c r="AR670" s="56"/>
    </row>
    <row r="671">
      <c r="A671" s="65"/>
      <c r="B671" s="65"/>
      <c r="C671" s="65"/>
      <c r="D671" s="65"/>
      <c r="E671" s="65"/>
      <c r="F671" s="65"/>
      <c r="G671" s="65"/>
      <c r="H671" s="65"/>
      <c r="I671" s="69"/>
      <c r="J671" s="70"/>
      <c r="K671" s="70"/>
      <c r="L671" s="69"/>
      <c r="M671" s="70"/>
      <c r="N671" s="70"/>
      <c r="O671" s="70"/>
      <c r="P671" s="70"/>
      <c r="Q671" s="70"/>
      <c r="R671" s="70"/>
      <c r="S671" s="70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65"/>
      <c r="AO671" s="56"/>
      <c r="AP671" s="56"/>
      <c r="AQ671" s="56"/>
      <c r="AR671" s="56"/>
    </row>
    <row r="672">
      <c r="A672" s="65"/>
      <c r="B672" s="65"/>
      <c r="C672" s="65"/>
      <c r="D672" s="65"/>
      <c r="E672" s="65"/>
      <c r="F672" s="65"/>
      <c r="G672" s="65"/>
      <c r="H672" s="65"/>
      <c r="I672" s="69"/>
      <c r="J672" s="70"/>
      <c r="K672" s="70"/>
      <c r="L672" s="69"/>
      <c r="M672" s="70"/>
      <c r="N672" s="70"/>
      <c r="O672" s="70"/>
      <c r="P672" s="70"/>
      <c r="Q672" s="70"/>
      <c r="R672" s="70"/>
      <c r="S672" s="70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65"/>
      <c r="AO672" s="56"/>
      <c r="AP672" s="56"/>
      <c r="AQ672" s="56"/>
      <c r="AR672" s="56"/>
    </row>
    <row r="673">
      <c r="A673" s="65"/>
      <c r="B673" s="65"/>
      <c r="C673" s="65"/>
      <c r="D673" s="65"/>
      <c r="E673" s="65"/>
      <c r="F673" s="65"/>
      <c r="G673" s="65"/>
      <c r="H673" s="65"/>
      <c r="I673" s="69"/>
      <c r="J673" s="70"/>
      <c r="K673" s="70"/>
      <c r="L673" s="69"/>
      <c r="M673" s="70"/>
      <c r="N673" s="70"/>
      <c r="O673" s="70"/>
      <c r="P673" s="70"/>
      <c r="Q673" s="70"/>
      <c r="R673" s="70"/>
      <c r="S673" s="70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65"/>
      <c r="AO673" s="56"/>
      <c r="AP673" s="56"/>
      <c r="AQ673" s="56"/>
      <c r="AR673" s="56"/>
    </row>
    <row r="674">
      <c r="A674" s="65"/>
      <c r="B674" s="65"/>
      <c r="C674" s="65"/>
      <c r="D674" s="65"/>
      <c r="E674" s="65"/>
      <c r="F674" s="65"/>
      <c r="G674" s="65"/>
      <c r="H674" s="65"/>
      <c r="I674" s="69"/>
      <c r="J674" s="70"/>
      <c r="K674" s="70"/>
      <c r="L674" s="69"/>
      <c r="M674" s="70"/>
      <c r="N674" s="70"/>
      <c r="O674" s="70"/>
      <c r="P674" s="70"/>
      <c r="Q674" s="70"/>
      <c r="R674" s="70"/>
      <c r="S674" s="70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65"/>
      <c r="AO674" s="56"/>
      <c r="AP674" s="56"/>
      <c r="AQ674" s="56"/>
      <c r="AR674" s="56"/>
    </row>
    <row r="675">
      <c r="A675" s="65"/>
      <c r="B675" s="65"/>
      <c r="C675" s="65"/>
      <c r="D675" s="65"/>
      <c r="E675" s="65"/>
      <c r="F675" s="65"/>
      <c r="G675" s="65"/>
      <c r="H675" s="65"/>
      <c r="I675" s="69"/>
      <c r="J675" s="70"/>
      <c r="K675" s="70"/>
      <c r="L675" s="69"/>
      <c r="M675" s="70"/>
      <c r="N675" s="70"/>
      <c r="O675" s="70"/>
      <c r="P675" s="70"/>
      <c r="Q675" s="70"/>
      <c r="R675" s="70"/>
      <c r="S675" s="70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65"/>
      <c r="AO675" s="56"/>
      <c r="AP675" s="56"/>
      <c r="AQ675" s="56"/>
      <c r="AR675" s="56"/>
    </row>
    <row r="676">
      <c r="A676" s="65"/>
      <c r="B676" s="65"/>
      <c r="C676" s="65"/>
      <c r="D676" s="65"/>
      <c r="E676" s="65"/>
      <c r="F676" s="65"/>
      <c r="G676" s="65"/>
      <c r="H676" s="65"/>
      <c r="I676" s="69"/>
      <c r="J676" s="70"/>
      <c r="K676" s="70"/>
      <c r="L676" s="69"/>
      <c r="M676" s="70"/>
      <c r="N676" s="70"/>
      <c r="O676" s="70"/>
      <c r="P676" s="70"/>
      <c r="Q676" s="70"/>
      <c r="R676" s="70"/>
      <c r="S676" s="70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65"/>
      <c r="AO676" s="56"/>
      <c r="AP676" s="56"/>
      <c r="AQ676" s="56"/>
      <c r="AR676" s="56"/>
    </row>
    <row r="677">
      <c r="A677" s="65"/>
      <c r="B677" s="65"/>
      <c r="C677" s="65"/>
      <c r="D677" s="65"/>
      <c r="E677" s="65"/>
      <c r="F677" s="65"/>
      <c r="G677" s="65"/>
      <c r="H677" s="65"/>
      <c r="I677" s="69"/>
      <c r="J677" s="70"/>
      <c r="K677" s="70"/>
      <c r="L677" s="69"/>
      <c r="M677" s="70"/>
      <c r="N677" s="70"/>
      <c r="O677" s="70"/>
      <c r="P677" s="70"/>
      <c r="Q677" s="70"/>
      <c r="R677" s="70"/>
      <c r="S677" s="70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65"/>
      <c r="AO677" s="56"/>
      <c r="AP677" s="56"/>
      <c r="AQ677" s="56"/>
      <c r="AR677" s="56"/>
    </row>
    <row r="678">
      <c r="A678" s="65"/>
      <c r="B678" s="65"/>
      <c r="C678" s="65"/>
      <c r="D678" s="65"/>
      <c r="E678" s="65"/>
      <c r="F678" s="65"/>
      <c r="G678" s="65"/>
      <c r="H678" s="65"/>
      <c r="I678" s="69"/>
      <c r="J678" s="70"/>
      <c r="K678" s="70"/>
      <c r="L678" s="69"/>
      <c r="M678" s="70"/>
      <c r="N678" s="70"/>
      <c r="O678" s="70"/>
      <c r="P678" s="70"/>
      <c r="Q678" s="70"/>
      <c r="R678" s="70"/>
      <c r="S678" s="70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65"/>
      <c r="AO678" s="56"/>
      <c r="AP678" s="56"/>
      <c r="AQ678" s="56"/>
      <c r="AR678" s="56"/>
    </row>
    <row r="679">
      <c r="A679" s="65"/>
      <c r="B679" s="65"/>
      <c r="C679" s="65"/>
      <c r="D679" s="65"/>
      <c r="E679" s="65"/>
      <c r="F679" s="65"/>
      <c r="G679" s="65"/>
      <c r="H679" s="65"/>
      <c r="I679" s="69"/>
      <c r="J679" s="70"/>
      <c r="K679" s="70"/>
      <c r="L679" s="69"/>
      <c r="M679" s="70"/>
      <c r="N679" s="70"/>
      <c r="O679" s="70"/>
      <c r="P679" s="70"/>
      <c r="Q679" s="70"/>
      <c r="R679" s="70"/>
      <c r="S679" s="70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65"/>
      <c r="AO679" s="56"/>
      <c r="AP679" s="56"/>
      <c r="AQ679" s="56"/>
      <c r="AR679" s="56"/>
    </row>
    <row r="680">
      <c r="A680" s="65"/>
      <c r="B680" s="65"/>
      <c r="C680" s="65"/>
      <c r="D680" s="65"/>
      <c r="E680" s="65"/>
      <c r="F680" s="65"/>
      <c r="G680" s="65"/>
      <c r="H680" s="65"/>
      <c r="I680" s="69"/>
      <c r="J680" s="70"/>
      <c r="K680" s="70"/>
      <c r="L680" s="69"/>
      <c r="M680" s="70"/>
      <c r="N680" s="70"/>
      <c r="O680" s="70"/>
      <c r="P680" s="70"/>
      <c r="Q680" s="70"/>
      <c r="R680" s="70"/>
      <c r="S680" s="70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65"/>
      <c r="AO680" s="56"/>
      <c r="AP680" s="56"/>
      <c r="AQ680" s="56"/>
      <c r="AR680" s="56"/>
    </row>
    <row r="681">
      <c r="A681" s="65"/>
      <c r="B681" s="65"/>
      <c r="C681" s="65"/>
      <c r="D681" s="65"/>
      <c r="E681" s="65"/>
      <c r="F681" s="65"/>
      <c r="G681" s="65"/>
      <c r="H681" s="65"/>
      <c r="I681" s="69"/>
      <c r="J681" s="70"/>
      <c r="K681" s="70"/>
      <c r="L681" s="69"/>
      <c r="M681" s="70"/>
      <c r="N681" s="70"/>
      <c r="O681" s="70"/>
      <c r="P681" s="70"/>
      <c r="Q681" s="70"/>
      <c r="R681" s="70"/>
      <c r="S681" s="70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65"/>
      <c r="AO681" s="56"/>
      <c r="AP681" s="56"/>
      <c r="AQ681" s="56"/>
      <c r="AR681" s="56"/>
    </row>
    <row r="682">
      <c r="A682" s="65"/>
      <c r="B682" s="65"/>
      <c r="C682" s="65"/>
      <c r="D682" s="65"/>
      <c r="E682" s="65"/>
      <c r="F682" s="65"/>
      <c r="G682" s="65"/>
      <c r="H682" s="65"/>
      <c r="I682" s="69"/>
      <c r="J682" s="70"/>
      <c r="K682" s="70"/>
      <c r="L682" s="69"/>
      <c r="M682" s="70"/>
      <c r="N682" s="70"/>
      <c r="O682" s="70"/>
      <c r="P682" s="70"/>
      <c r="Q682" s="70"/>
      <c r="R682" s="70"/>
      <c r="S682" s="70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65"/>
      <c r="AO682" s="56"/>
      <c r="AP682" s="56"/>
      <c r="AQ682" s="56"/>
      <c r="AR682" s="56"/>
    </row>
    <row r="683">
      <c r="A683" s="65"/>
      <c r="B683" s="65"/>
      <c r="C683" s="65"/>
      <c r="D683" s="65"/>
      <c r="E683" s="65"/>
      <c r="F683" s="65"/>
      <c r="G683" s="65"/>
      <c r="H683" s="65"/>
      <c r="I683" s="69"/>
      <c r="J683" s="70"/>
      <c r="K683" s="70"/>
      <c r="L683" s="69"/>
      <c r="M683" s="70"/>
      <c r="N683" s="70"/>
      <c r="O683" s="70"/>
      <c r="P683" s="70"/>
      <c r="Q683" s="70"/>
      <c r="R683" s="70"/>
      <c r="S683" s="70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65"/>
      <c r="AO683" s="56"/>
      <c r="AP683" s="56"/>
      <c r="AQ683" s="56"/>
      <c r="AR683" s="56"/>
    </row>
    <row r="684">
      <c r="A684" s="65"/>
      <c r="B684" s="65"/>
      <c r="C684" s="65"/>
      <c r="D684" s="65"/>
      <c r="E684" s="65"/>
      <c r="F684" s="65"/>
      <c r="G684" s="65"/>
      <c r="H684" s="65"/>
      <c r="I684" s="69"/>
      <c r="J684" s="70"/>
      <c r="K684" s="70"/>
      <c r="L684" s="69"/>
      <c r="M684" s="70"/>
      <c r="N684" s="70"/>
      <c r="O684" s="70"/>
      <c r="P684" s="70"/>
      <c r="Q684" s="70"/>
      <c r="R684" s="70"/>
      <c r="S684" s="70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65"/>
      <c r="AO684" s="56"/>
      <c r="AP684" s="56"/>
      <c r="AQ684" s="56"/>
      <c r="AR684" s="56"/>
    </row>
    <row r="685">
      <c r="A685" s="65"/>
      <c r="B685" s="65"/>
      <c r="C685" s="65"/>
      <c r="D685" s="65"/>
      <c r="E685" s="65"/>
      <c r="F685" s="65"/>
      <c r="G685" s="65"/>
      <c r="H685" s="65"/>
      <c r="I685" s="69"/>
      <c r="J685" s="70"/>
      <c r="K685" s="70"/>
      <c r="L685" s="69"/>
      <c r="M685" s="70"/>
      <c r="N685" s="70"/>
      <c r="O685" s="70"/>
      <c r="P685" s="70"/>
      <c r="Q685" s="70"/>
      <c r="R685" s="70"/>
      <c r="S685" s="70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65"/>
      <c r="AO685" s="56"/>
      <c r="AP685" s="56"/>
      <c r="AQ685" s="56"/>
      <c r="AR685" s="56"/>
    </row>
    <row r="686">
      <c r="A686" s="65"/>
      <c r="B686" s="65"/>
      <c r="C686" s="65"/>
      <c r="D686" s="65"/>
      <c r="E686" s="65"/>
      <c r="F686" s="65"/>
      <c r="G686" s="65"/>
      <c r="H686" s="65"/>
      <c r="I686" s="69"/>
      <c r="J686" s="70"/>
      <c r="K686" s="70"/>
      <c r="L686" s="69"/>
      <c r="M686" s="70"/>
      <c r="N686" s="70"/>
      <c r="O686" s="70"/>
      <c r="P686" s="70"/>
      <c r="Q686" s="70"/>
      <c r="R686" s="70"/>
      <c r="S686" s="70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65"/>
      <c r="AO686" s="56"/>
      <c r="AP686" s="56"/>
      <c r="AQ686" s="56"/>
      <c r="AR686" s="56"/>
    </row>
    <row r="687">
      <c r="A687" s="65"/>
      <c r="B687" s="65"/>
      <c r="C687" s="65"/>
      <c r="D687" s="65"/>
      <c r="E687" s="65"/>
      <c r="F687" s="65"/>
      <c r="G687" s="65"/>
      <c r="H687" s="65"/>
      <c r="I687" s="69"/>
      <c r="J687" s="70"/>
      <c r="K687" s="70"/>
      <c r="L687" s="69"/>
      <c r="M687" s="70"/>
      <c r="N687" s="70"/>
      <c r="O687" s="70"/>
      <c r="P687" s="70"/>
      <c r="Q687" s="70"/>
      <c r="R687" s="70"/>
      <c r="S687" s="70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65"/>
      <c r="AO687" s="56"/>
      <c r="AP687" s="56"/>
      <c r="AQ687" s="56"/>
      <c r="AR687" s="56"/>
    </row>
    <row r="688">
      <c r="A688" s="65"/>
      <c r="B688" s="65"/>
      <c r="C688" s="65"/>
      <c r="D688" s="65"/>
      <c r="E688" s="65"/>
      <c r="F688" s="65"/>
      <c r="G688" s="65"/>
      <c r="H688" s="65"/>
      <c r="I688" s="69"/>
      <c r="J688" s="70"/>
      <c r="K688" s="70"/>
      <c r="L688" s="69"/>
      <c r="M688" s="70"/>
      <c r="N688" s="70"/>
      <c r="O688" s="70"/>
      <c r="P688" s="70"/>
      <c r="Q688" s="70"/>
      <c r="R688" s="70"/>
      <c r="S688" s="70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65"/>
      <c r="AO688" s="56"/>
      <c r="AP688" s="56"/>
      <c r="AQ688" s="56"/>
      <c r="AR688" s="56"/>
    </row>
    <row r="689">
      <c r="A689" s="65"/>
      <c r="B689" s="65"/>
      <c r="C689" s="65"/>
      <c r="D689" s="65"/>
      <c r="E689" s="65"/>
      <c r="F689" s="65"/>
      <c r="G689" s="65"/>
      <c r="H689" s="65"/>
      <c r="I689" s="69"/>
      <c r="J689" s="70"/>
      <c r="K689" s="70"/>
      <c r="L689" s="69"/>
      <c r="M689" s="70"/>
      <c r="N689" s="70"/>
      <c r="O689" s="70"/>
      <c r="P689" s="70"/>
      <c r="Q689" s="70"/>
      <c r="R689" s="70"/>
      <c r="S689" s="70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65"/>
      <c r="AO689" s="56"/>
      <c r="AP689" s="56"/>
      <c r="AQ689" s="56"/>
      <c r="AR689" s="56"/>
    </row>
    <row r="690">
      <c r="A690" s="65"/>
      <c r="B690" s="65"/>
      <c r="C690" s="65"/>
      <c r="D690" s="65"/>
      <c r="E690" s="65"/>
      <c r="F690" s="65"/>
      <c r="G690" s="65"/>
      <c r="H690" s="65"/>
      <c r="I690" s="69"/>
      <c r="J690" s="70"/>
      <c r="K690" s="70"/>
      <c r="L690" s="69"/>
      <c r="M690" s="70"/>
      <c r="N690" s="70"/>
      <c r="O690" s="70"/>
      <c r="P690" s="70"/>
      <c r="Q690" s="70"/>
      <c r="R690" s="70"/>
      <c r="S690" s="70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65"/>
      <c r="AO690" s="56"/>
      <c r="AP690" s="56"/>
      <c r="AQ690" s="56"/>
      <c r="AR690" s="56"/>
    </row>
    <row r="691">
      <c r="A691" s="65"/>
      <c r="B691" s="65"/>
      <c r="C691" s="65"/>
      <c r="D691" s="65"/>
      <c r="E691" s="65"/>
      <c r="F691" s="65"/>
      <c r="G691" s="65"/>
      <c r="H691" s="65"/>
      <c r="I691" s="69"/>
      <c r="J691" s="70"/>
      <c r="K691" s="70"/>
      <c r="L691" s="69"/>
      <c r="M691" s="70"/>
      <c r="N691" s="70"/>
      <c r="O691" s="70"/>
      <c r="P691" s="70"/>
      <c r="Q691" s="70"/>
      <c r="R691" s="70"/>
      <c r="S691" s="70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65"/>
      <c r="AO691" s="56"/>
      <c r="AP691" s="56"/>
      <c r="AQ691" s="56"/>
      <c r="AR691" s="56"/>
    </row>
    <row r="692">
      <c r="A692" s="65"/>
      <c r="B692" s="65"/>
      <c r="C692" s="65"/>
      <c r="D692" s="65"/>
      <c r="E692" s="65"/>
      <c r="F692" s="65"/>
      <c r="G692" s="65"/>
      <c r="H692" s="65"/>
      <c r="I692" s="69"/>
      <c r="J692" s="70"/>
      <c r="K692" s="70"/>
      <c r="L692" s="69"/>
      <c r="M692" s="70"/>
      <c r="N692" s="70"/>
      <c r="O692" s="70"/>
      <c r="P692" s="70"/>
      <c r="Q692" s="70"/>
      <c r="R692" s="70"/>
      <c r="S692" s="70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65"/>
      <c r="AO692" s="56"/>
      <c r="AP692" s="56"/>
      <c r="AQ692" s="56"/>
      <c r="AR692" s="56"/>
    </row>
    <row r="693">
      <c r="A693" s="65"/>
      <c r="B693" s="65"/>
      <c r="C693" s="65"/>
      <c r="D693" s="65"/>
      <c r="E693" s="65"/>
      <c r="F693" s="65"/>
      <c r="G693" s="65"/>
      <c r="H693" s="65"/>
      <c r="I693" s="69"/>
      <c r="J693" s="70"/>
      <c r="K693" s="70"/>
      <c r="L693" s="69"/>
      <c r="M693" s="70"/>
      <c r="N693" s="70"/>
      <c r="O693" s="70"/>
      <c r="P693" s="70"/>
      <c r="Q693" s="70"/>
      <c r="R693" s="70"/>
      <c r="S693" s="70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65"/>
      <c r="AO693" s="56"/>
      <c r="AP693" s="56"/>
      <c r="AQ693" s="56"/>
      <c r="AR693" s="56"/>
    </row>
    <row r="694">
      <c r="A694" s="65"/>
      <c r="B694" s="65"/>
      <c r="C694" s="65"/>
      <c r="D694" s="65"/>
      <c r="E694" s="65"/>
      <c r="F694" s="65"/>
      <c r="G694" s="65"/>
      <c r="H694" s="65"/>
      <c r="I694" s="69"/>
      <c r="J694" s="70"/>
      <c r="K694" s="70"/>
      <c r="L694" s="69"/>
      <c r="M694" s="70"/>
      <c r="N694" s="70"/>
      <c r="O694" s="70"/>
      <c r="P694" s="70"/>
      <c r="Q694" s="70"/>
      <c r="R694" s="70"/>
      <c r="S694" s="70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65"/>
      <c r="AO694" s="56"/>
      <c r="AP694" s="56"/>
      <c r="AQ694" s="56"/>
      <c r="AR694" s="56"/>
    </row>
    <row r="695">
      <c r="A695" s="65"/>
      <c r="B695" s="65"/>
      <c r="C695" s="65"/>
      <c r="D695" s="65"/>
      <c r="E695" s="65"/>
      <c r="F695" s="65"/>
      <c r="G695" s="65"/>
      <c r="H695" s="65"/>
      <c r="I695" s="69"/>
      <c r="J695" s="70"/>
      <c r="K695" s="70"/>
      <c r="L695" s="69"/>
      <c r="M695" s="70"/>
      <c r="N695" s="70"/>
      <c r="O695" s="70"/>
      <c r="P695" s="70"/>
      <c r="Q695" s="70"/>
      <c r="R695" s="70"/>
      <c r="S695" s="70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65"/>
      <c r="AO695" s="56"/>
      <c r="AP695" s="56"/>
      <c r="AQ695" s="56"/>
      <c r="AR695" s="56"/>
    </row>
    <row r="696">
      <c r="A696" s="65"/>
      <c r="B696" s="65"/>
      <c r="C696" s="65"/>
      <c r="D696" s="65"/>
      <c r="E696" s="65"/>
      <c r="F696" s="65"/>
      <c r="G696" s="65"/>
      <c r="H696" s="65"/>
      <c r="I696" s="69"/>
      <c r="J696" s="70"/>
      <c r="K696" s="70"/>
      <c r="L696" s="69"/>
      <c r="M696" s="70"/>
      <c r="N696" s="70"/>
      <c r="O696" s="70"/>
      <c r="P696" s="70"/>
      <c r="Q696" s="70"/>
      <c r="R696" s="70"/>
      <c r="S696" s="70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65"/>
      <c r="AO696" s="56"/>
      <c r="AP696" s="56"/>
      <c r="AQ696" s="56"/>
      <c r="AR696" s="56"/>
    </row>
    <row r="697">
      <c r="A697" s="65"/>
      <c r="B697" s="65"/>
      <c r="C697" s="65"/>
      <c r="D697" s="65"/>
      <c r="E697" s="65"/>
      <c r="F697" s="65"/>
      <c r="G697" s="65"/>
      <c r="H697" s="65"/>
      <c r="I697" s="69"/>
      <c r="J697" s="70"/>
      <c r="K697" s="70"/>
      <c r="L697" s="69"/>
      <c r="M697" s="70"/>
      <c r="N697" s="70"/>
      <c r="O697" s="70"/>
      <c r="P697" s="70"/>
      <c r="Q697" s="70"/>
      <c r="R697" s="70"/>
      <c r="S697" s="70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65"/>
      <c r="AO697" s="56"/>
      <c r="AP697" s="56"/>
      <c r="AQ697" s="56"/>
      <c r="AR697" s="56"/>
    </row>
    <row r="698">
      <c r="A698" s="65"/>
      <c r="B698" s="65"/>
      <c r="C698" s="65"/>
      <c r="D698" s="65"/>
      <c r="E698" s="65"/>
      <c r="F698" s="65"/>
      <c r="G698" s="65"/>
      <c r="H698" s="65"/>
      <c r="I698" s="69"/>
      <c r="J698" s="70"/>
      <c r="K698" s="70"/>
      <c r="L698" s="69"/>
      <c r="M698" s="70"/>
      <c r="N698" s="70"/>
      <c r="O698" s="70"/>
      <c r="P698" s="70"/>
      <c r="Q698" s="70"/>
      <c r="R698" s="70"/>
      <c r="S698" s="70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65"/>
      <c r="AO698" s="56"/>
      <c r="AP698" s="56"/>
      <c r="AQ698" s="56"/>
      <c r="AR698" s="56"/>
    </row>
    <row r="699">
      <c r="A699" s="65"/>
      <c r="B699" s="65"/>
      <c r="C699" s="65"/>
      <c r="D699" s="65"/>
      <c r="E699" s="65"/>
      <c r="F699" s="65"/>
      <c r="G699" s="65"/>
      <c r="H699" s="65"/>
      <c r="I699" s="69"/>
      <c r="J699" s="70"/>
      <c r="K699" s="70"/>
      <c r="L699" s="69"/>
      <c r="M699" s="70"/>
      <c r="N699" s="70"/>
      <c r="O699" s="70"/>
      <c r="P699" s="70"/>
      <c r="Q699" s="70"/>
      <c r="R699" s="70"/>
      <c r="S699" s="70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65"/>
      <c r="AO699" s="56"/>
      <c r="AP699" s="56"/>
      <c r="AQ699" s="56"/>
      <c r="AR699" s="56"/>
    </row>
    <row r="700">
      <c r="A700" s="65"/>
      <c r="B700" s="65"/>
      <c r="C700" s="65"/>
      <c r="D700" s="65"/>
      <c r="E700" s="65"/>
      <c r="F700" s="65"/>
      <c r="G700" s="65"/>
      <c r="H700" s="65"/>
      <c r="I700" s="69"/>
      <c r="J700" s="70"/>
      <c r="K700" s="70"/>
      <c r="L700" s="69"/>
      <c r="M700" s="70"/>
      <c r="N700" s="70"/>
      <c r="O700" s="70"/>
      <c r="P700" s="70"/>
      <c r="Q700" s="70"/>
      <c r="R700" s="70"/>
      <c r="S700" s="70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65"/>
      <c r="AO700" s="56"/>
      <c r="AP700" s="56"/>
      <c r="AQ700" s="56"/>
      <c r="AR700" s="56"/>
    </row>
    <row r="701">
      <c r="A701" s="65"/>
      <c r="B701" s="65"/>
      <c r="C701" s="65"/>
      <c r="D701" s="65"/>
      <c r="E701" s="65"/>
      <c r="F701" s="65"/>
      <c r="G701" s="65"/>
      <c r="H701" s="65"/>
      <c r="I701" s="69"/>
      <c r="J701" s="70"/>
      <c r="K701" s="70"/>
      <c r="L701" s="69"/>
      <c r="M701" s="70"/>
      <c r="N701" s="70"/>
      <c r="O701" s="70"/>
      <c r="P701" s="70"/>
      <c r="Q701" s="70"/>
      <c r="R701" s="70"/>
      <c r="S701" s="70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65"/>
      <c r="AO701" s="56"/>
      <c r="AP701" s="56"/>
      <c r="AQ701" s="56"/>
      <c r="AR701" s="56"/>
    </row>
    <row r="702">
      <c r="A702" s="65"/>
      <c r="B702" s="65"/>
      <c r="C702" s="65"/>
      <c r="D702" s="65"/>
      <c r="E702" s="65"/>
      <c r="F702" s="65"/>
      <c r="G702" s="65"/>
      <c r="H702" s="65"/>
      <c r="I702" s="69"/>
      <c r="J702" s="70"/>
      <c r="K702" s="70"/>
      <c r="L702" s="69"/>
      <c r="M702" s="70"/>
      <c r="N702" s="70"/>
      <c r="O702" s="70"/>
      <c r="P702" s="70"/>
      <c r="Q702" s="70"/>
      <c r="R702" s="70"/>
      <c r="S702" s="70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65"/>
      <c r="AO702" s="56"/>
      <c r="AP702" s="56"/>
      <c r="AQ702" s="56"/>
      <c r="AR702" s="56"/>
    </row>
    <row r="703">
      <c r="A703" s="65"/>
      <c r="B703" s="65"/>
      <c r="C703" s="65"/>
      <c r="D703" s="65"/>
      <c r="E703" s="65"/>
      <c r="F703" s="65"/>
      <c r="G703" s="65"/>
      <c r="H703" s="65"/>
      <c r="I703" s="69"/>
      <c r="J703" s="70"/>
      <c r="K703" s="70"/>
      <c r="L703" s="69"/>
      <c r="M703" s="70"/>
      <c r="N703" s="70"/>
      <c r="O703" s="70"/>
      <c r="P703" s="70"/>
      <c r="Q703" s="70"/>
      <c r="R703" s="70"/>
      <c r="S703" s="70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65"/>
      <c r="AO703" s="56"/>
      <c r="AP703" s="56"/>
      <c r="AQ703" s="56"/>
      <c r="AR703" s="56"/>
    </row>
    <row r="704">
      <c r="A704" s="65"/>
      <c r="B704" s="65"/>
      <c r="C704" s="65"/>
      <c r="D704" s="65"/>
      <c r="E704" s="65"/>
      <c r="F704" s="65"/>
      <c r="G704" s="65"/>
      <c r="H704" s="65"/>
      <c r="I704" s="69"/>
      <c r="J704" s="70"/>
      <c r="K704" s="70"/>
      <c r="L704" s="69"/>
      <c r="M704" s="70"/>
      <c r="N704" s="70"/>
      <c r="O704" s="70"/>
      <c r="P704" s="70"/>
      <c r="Q704" s="70"/>
      <c r="R704" s="70"/>
      <c r="S704" s="70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65"/>
      <c r="AO704" s="56"/>
      <c r="AP704" s="56"/>
      <c r="AQ704" s="56"/>
      <c r="AR704" s="56"/>
    </row>
    <row r="705">
      <c r="A705" s="65"/>
      <c r="B705" s="65"/>
      <c r="C705" s="65"/>
      <c r="D705" s="65"/>
      <c r="E705" s="65"/>
      <c r="F705" s="65"/>
      <c r="G705" s="65"/>
      <c r="H705" s="65"/>
      <c r="I705" s="69"/>
      <c r="J705" s="70"/>
      <c r="K705" s="70"/>
      <c r="L705" s="69"/>
      <c r="M705" s="70"/>
      <c r="N705" s="70"/>
      <c r="O705" s="70"/>
      <c r="P705" s="70"/>
      <c r="Q705" s="70"/>
      <c r="R705" s="70"/>
      <c r="S705" s="70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65"/>
      <c r="AO705" s="56"/>
      <c r="AP705" s="56"/>
      <c r="AQ705" s="56"/>
      <c r="AR705" s="56"/>
    </row>
    <row r="706">
      <c r="A706" s="65"/>
      <c r="B706" s="65"/>
      <c r="C706" s="65"/>
      <c r="D706" s="65"/>
      <c r="E706" s="65"/>
      <c r="F706" s="65"/>
      <c r="G706" s="65"/>
      <c r="H706" s="65"/>
      <c r="I706" s="69"/>
      <c r="J706" s="70"/>
      <c r="K706" s="70"/>
      <c r="L706" s="69"/>
      <c r="M706" s="70"/>
      <c r="N706" s="70"/>
      <c r="O706" s="70"/>
      <c r="P706" s="70"/>
      <c r="Q706" s="70"/>
      <c r="R706" s="70"/>
      <c r="S706" s="70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65"/>
      <c r="AO706" s="56"/>
      <c r="AP706" s="56"/>
      <c r="AQ706" s="56"/>
      <c r="AR706" s="56"/>
    </row>
    <row r="707">
      <c r="A707" s="65"/>
      <c r="B707" s="65"/>
      <c r="C707" s="65"/>
      <c r="D707" s="65"/>
      <c r="E707" s="65"/>
      <c r="F707" s="65"/>
      <c r="G707" s="65"/>
      <c r="H707" s="65"/>
      <c r="I707" s="69"/>
      <c r="J707" s="70"/>
      <c r="K707" s="70"/>
      <c r="L707" s="69"/>
      <c r="M707" s="70"/>
      <c r="N707" s="70"/>
      <c r="O707" s="70"/>
      <c r="P707" s="70"/>
      <c r="Q707" s="70"/>
      <c r="R707" s="70"/>
      <c r="S707" s="70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65"/>
      <c r="AO707" s="56"/>
      <c r="AP707" s="56"/>
      <c r="AQ707" s="56"/>
      <c r="AR707" s="56"/>
    </row>
    <row r="708">
      <c r="A708" s="65"/>
      <c r="B708" s="65"/>
      <c r="C708" s="65"/>
      <c r="D708" s="65"/>
      <c r="E708" s="65"/>
      <c r="F708" s="65"/>
      <c r="G708" s="65"/>
      <c r="H708" s="65"/>
      <c r="I708" s="69"/>
      <c r="J708" s="70"/>
      <c r="K708" s="70"/>
      <c r="L708" s="69"/>
      <c r="M708" s="70"/>
      <c r="N708" s="70"/>
      <c r="O708" s="70"/>
      <c r="P708" s="70"/>
      <c r="Q708" s="70"/>
      <c r="R708" s="70"/>
      <c r="S708" s="70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65"/>
      <c r="AO708" s="56"/>
      <c r="AP708" s="56"/>
      <c r="AQ708" s="56"/>
      <c r="AR708" s="56"/>
    </row>
    <row r="709">
      <c r="A709" s="65"/>
      <c r="B709" s="65"/>
      <c r="C709" s="65"/>
      <c r="D709" s="65"/>
      <c r="E709" s="65"/>
      <c r="F709" s="65"/>
      <c r="G709" s="65"/>
      <c r="H709" s="65"/>
      <c r="I709" s="69"/>
      <c r="J709" s="70"/>
      <c r="K709" s="70"/>
      <c r="L709" s="69"/>
      <c r="M709" s="70"/>
      <c r="N709" s="70"/>
      <c r="O709" s="70"/>
      <c r="P709" s="70"/>
      <c r="Q709" s="70"/>
      <c r="R709" s="70"/>
      <c r="S709" s="70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65"/>
      <c r="AO709" s="56"/>
      <c r="AP709" s="56"/>
      <c r="AQ709" s="56"/>
      <c r="AR709" s="56"/>
    </row>
    <row r="710">
      <c r="A710" s="65"/>
      <c r="B710" s="65"/>
      <c r="C710" s="65"/>
      <c r="D710" s="65"/>
      <c r="E710" s="65"/>
      <c r="F710" s="65"/>
      <c r="G710" s="65"/>
      <c r="H710" s="65"/>
      <c r="I710" s="69"/>
      <c r="J710" s="70"/>
      <c r="K710" s="70"/>
      <c r="L710" s="69"/>
      <c r="M710" s="70"/>
      <c r="N710" s="70"/>
      <c r="O710" s="70"/>
      <c r="P710" s="70"/>
      <c r="Q710" s="70"/>
      <c r="R710" s="70"/>
      <c r="S710" s="70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65"/>
      <c r="AO710" s="56"/>
      <c r="AP710" s="56"/>
      <c r="AQ710" s="56"/>
      <c r="AR710" s="56"/>
    </row>
    <row r="711">
      <c r="A711" s="65"/>
      <c r="B711" s="65"/>
      <c r="C711" s="65"/>
      <c r="D711" s="65"/>
      <c r="E711" s="65"/>
      <c r="F711" s="65"/>
      <c r="G711" s="65"/>
      <c r="H711" s="65"/>
      <c r="I711" s="69"/>
      <c r="J711" s="70"/>
      <c r="K711" s="70"/>
      <c r="L711" s="69"/>
      <c r="M711" s="70"/>
      <c r="N711" s="70"/>
      <c r="O711" s="70"/>
      <c r="P711" s="70"/>
      <c r="Q711" s="70"/>
      <c r="R711" s="70"/>
      <c r="S711" s="70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65"/>
      <c r="AO711" s="56"/>
      <c r="AP711" s="56"/>
      <c r="AQ711" s="56"/>
      <c r="AR711" s="56"/>
    </row>
    <row r="712">
      <c r="A712" s="65"/>
      <c r="B712" s="65"/>
      <c r="C712" s="65"/>
      <c r="D712" s="65"/>
      <c r="E712" s="65"/>
      <c r="F712" s="65"/>
      <c r="G712" s="65"/>
      <c r="H712" s="65"/>
      <c r="I712" s="69"/>
      <c r="J712" s="70"/>
      <c r="K712" s="70"/>
      <c r="L712" s="69"/>
      <c r="M712" s="70"/>
      <c r="N712" s="70"/>
      <c r="O712" s="70"/>
      <c r="P712" s="70"/>
      <c r="Q712" s="70"/>
      <c r="R712" s="70"/>
      <c r="S712" s="70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65"/>
      <c r="AO712" s="56"/>
      <c r="AP712" s="56"/>
      <c r="AQ712" s="56"/>
      <c r="AR712" s="56"/>
    </row>
    <row r="713">
      <c r="A713" s="65"/>
      <c r="B713" s="65"/>
      <c r="C713" s="65"/>
      <c r="D713" s="65"/>
      <c r="E713" s="65"/>
      <c r="F713" s="65"/>
      <c r="G713" s="65"/>
      <c r="H713" s="65"/>
      <c r="I713" s="69"/>
      <c r="J713" s="70"/>
      <c r="K713" s="70"/>
      <c r="L713" s="69"/>
      <c r="M713" s="70"/>
      <c r="N713" s="70"/>
      <c r="O713" s="70"/>
      <c r="P713" s="70"/>
      <c r="Q713" s="70"/>
      <c r="R713" s="70"/>
      <c r="S713" s="70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65"/>
      <c r="AO713" s="56"/>
      <c r="AP713" s="56"/>
      <c r="AQ713" s="56"/>
      <c r="AR713" s="56"/>
    </row>
    <row r="714">
      <c r="A714" s="65"/>
      <c r="B714" s="65"/>
      <c r="C714" s="65"/>
      <c r="D714" s="65"/>
      <c r="E714" s="65"/>
      <c r="F714" s="65"/>
      <c r="G714" s="65"/>
      <c r="H714" s="65"/>
      <c r="I714" s="69"/>
      <c r="J714" s="70"/>
      <c r="K714" s="70"/>
      <c r="L714" s="69"/>
      <c r="M714" s="70"/>
      <c r="N714" s="70"/>
      <c r="O714" s="70"/>
      <c r="P714" s="70"/>
      <c r="Q714" s="70"/>
      <c r="R714" s="70"/>
      <c r="S714" s="70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65"/>
      <c r="AO714" s="56"/>
      <c r="AP714" s="56"/>
      <c r="AQ714" s="56"/>
      <c r="AR714" s="56"/>
    </row>
    <row r="715">
      <c r="A715" s="65"/>
      <c r="B715" s="65"/>
      <c r="C715" s="65"/>
      <c r="D715" s="65"/>
      <c r="E715" s="65"/>
      <c r="F715" s="65"/>
      <c r="G715" s="65"/>
      <c r="H715" s="65"/>
      <c r="I715" s="69"/>
      <c r="J715" s="70"/>
      <c r="K715" s="70"/>
      <c r="L715" s="69"/>
      <c r="M715" s="70"/>
      <c r="N715" s="70"/>
      <c r="O715" s="70"/>
      <c r="P715" s="70"/>
      <c r="Q715" s="70"/>
      <c r="R715" s="70"/>
      <c r="S715" s="70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65"/>
      <c r="AO715" s="56"/>
      <c r="AP715" s="56"/>
      <c r="AQ715" s="56"/>
      <c r="AR715" s="56"/>
    </row>
    <row r="716">
      <c r="A716" s="65"/>
      <c r="B716" s="65"/>
      <c r="C716" s="65"/>
      <c r="D716" s="65"/>
      <c r="E716" s="65"/>
      <c r="F716" s="65"/>
      <c r="G716" s="65"/>
      <c r="H716" s="65"/>
      <c r="I716" s="69"/>
      <c r="J716" s="70"/>
      <c r="K716" s="70"/>
      <c r="L716" s="69"/>
      <c r="M716" s="70"/>
      <c r="N716" s="70"/>
      <c r="O716" s="70"/>
      <c r="P716" s="70"/>
      <c r="Q716" s="70"/>
      <c r="R716" s="70"/>
      <c r="S716" s="70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65"/>
      <c r="AO716" s="56"/>
      <c r="AP716" s="56"/>
      <c r="AQ716" s="56"/>
      <c r="AR716" s="56"/>
    </row>
    <row r="717">
      <c r="A717" s="65"/>
      <c r="B717" s="65"/>
      <c r="C717" s="65"/>
      <c r="D717" s="65"/>
      <c r="E717" s="65"/>
      <c r="F717" s="65"/>
      <c r="G717" s="65"/>
      <c r="H717" s="65"/>
      <c r="I717" s="69"/>
      <c r="J717" s="70"/>
      <c r="K717" s="70"/>
      <c r="L717" s="69"/>
      <c r="M717" s="70"/>
      <c r="N717" s="70"/>
      <c r="O717" s="70"/>
      <c r="P717" s="70"/>
      <c r="Q717" s="70"/>
      <c r="R717" s="70"/>
      <c r="S717" s="70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65"/>
      <c r="AO717" s="56"/>
      <c r="AP717" s="56"/>
      <c r="AQ717" s="56"/>
      <c r="AR717" s="56"/>
    </row>
    <row r="718">
      <c r="A718" s="65"/>
      <c r="B718" s="65"/>
      <c r="C718" s="65"/>
      <c r="D718" s="65"/>
      <c r="E718" s="65"/>
      <c r="F718" s="65"/>
      <c r="G718" s="65"/>
      <c r="H718" s="65"/>
      <c r="I718" s="69"/>
      <c r="J718" s="70"/>
      <c r="K718" s="70"/>
      <c r="L718" s="69"/>
      <c r="M718" s="70"/>
      <c r="N718" s="70"/>
      <c r="O718" s="70"/>
      <c r="P718" s="70"/>
      <c r="Q718" s="70"/>
      <c r="R718" s="70"/>
      <c r="S718" s="70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65"/>
      <c r="AO718" s="56"/>
      <c r="AP718" s="56"/>
      <c r="AQ718" s="56"/>
      <c r="AR718" s="56"/>
    </row>
    <row r="719">
      <c r="A719" s="65"/>
      <c r="B719" s="65"/>
      <c r="C719" s="65"/>
      <c r="D719" s="65"/>
      <c r="E719" s="65"/>
      <c r="F719" s="65"/>
      <c r="G719" s="65"/>
      <c r="H719" s="65"/>
      <c r="I719" s="69"/>
      <c r="J719" s="70"/>
      <c r="K719" s="70"/>
      <c r="L719" s="69"/>
      <c r="M719" s="70"/>
      <c r="N719" s="70"/>
      <c r="O719" s="70"/>
      <c r="P719" s="70"/>
      <c r="Q719" s="70"/>
      <c r="R719" s="70"/>
      <c r="S719" s="70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65"/>
      <c r="AO719" s="56"/>
      <c r="AP719" s="56"/>
      <c r="AQ719" s="56"/>
      <c r="AR719" s="56"/>
    </row>
    <row r="720">
      <c r="A720" s="65"/>
      <c r="B720" s="65"/>
      <c r="C720" s="65"/>
      <c r="D720" s="65"/>
      <c r="E720" s="65"/>
      <c r="F720" s="65"/>
      <c r="G720" s="65"/>
      <c r="H720" s="65"/>
      <c r="I720" s="69"/>
      <c r="J720" s="70"/>
      <c r="K720" s="70"/>
      <c r="L720" s="69"/>
      <c r="M720" s="70"/>
      <c r="N720" s="70"/>
      <c r="O720" s="70"/>
      <c r="P720" s="70"/>
      <c r="Q720" s="70"/>
      <c r="R720" s="70"/>
      <c r="S720" s="70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65"/>
      <c r="AO720" s="56"/>
      <c r="AP720" s="56"/>
      <c r="AQ720" s="56"/>
      <c r="AR720" s="56"/>
    </row>
    <row r="721">
      <c r="A721" s="65"/>
      <c r="B721" s="65"/>
      <c r="C721" s="65"/>
      <c r="D721" s="65"/>
      <c r="E721" s="65"/>
      <c r="F721" s="65"/>
      <c r="G721" s="65"/>
      <c r="H721" s="65"/>
      <c r="I721" s="69"/>
      <c r="J721" s="70"/>
      <c r="K721" s="70"/>
      <c r="L721" s="69"/>
      <c r="M721" s="70"/>
      <c r="N721" s="70"/>
      <c r="O721" s="70"/>
      <c r="P721" s="70"/>
      <c r="Q721" s="70"/>
      <c r="R721" s="70"/>
      <c r="S721" s="70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65"/>
      <c r="AO721" s="56"/>
      <c r="AP721" s="56"/>
      <c r="AQ721" s="56"/>
      <c r="AR721" s="56"/>
    </row>
    <row r="722">
      <c r="A722" s="65"/>
      <c r="B722" s="65"/>
      <c r="C722" s="65"/>
      <c r="D722" s="65"/>
      <c r="E722" s="65"/>
      <c r="F722" s="65"/>
      <c r="G722" s="65"/>
      <c r="H722" s="65"/>
      <c r="I722" s="69"/>
      <c r="J722" s="70"/>
      <c r="K722" s="70"/>
      <c r="L722" s="69"/>
      <c r="M722" s="70"/>
      <c r="N722" s="70"/>
      <c r="O722" s="70"/>
      <c r="P722" s="70"/>
      <c r="Q722" s="70"/>
      <c r="R722" s="70"/>
      <c r="S722" s="70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65"/>
      <c r="AO722" s="56"/>
      <c r="AP722" s="56"/>
      <c r="AQ722" s="56"/>
      <c r="AR722" s="56"/>
    </row>
    <row r="723">
      <c r="A723" s="65"/>
      <c r="B723" s="65"/>
      <c r="C723" s="65"/>
      <c r="D723" s="65"/>
      <c r="E723" s="65"/>
      <c r="F723" s="65"/>
      <c r="G723" s="65"/>
      <c r="H723" s="65"/>
      <c r="I723" s="69"/>
      <c r="J723" s="70"/>
      <c r="K723" s="70"/>
      <c r="L723" s="69"/>
      <c r="M723" s="70"/>
      <c r="N723" s="70"/>
      <c r="O723" s="70"/>
      <c r="P723" s="70"/>
      <c r="Q723" s="70"/>
      <c r="R723" s="70"/>
      <c r="S723" s="70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65"/>
      <c r="AO723" s="56"/>
      <c r="AP723" s="56"/>
      <c r="AQ723" s="56"/>
      <c r="AR723" s="56"/>
    </row>
    <row r="724">
      <c r="A724" s="65"/>
      <c r="B724" s="65"/>
      <c r="C724" s="65"/>
      <c r="D724" s="65"/>
      <c r="E724" s="65"/>
      <c r="F724" s="65"/>
      <c r="G724" s="65"/>
      <c r="H724" s="65"/>
      <c r="I724" s="69"/>
      <c r="J724" s="70"/>
      <c r="K724" s="70"/>
      <c r="L724" s="69"/>
      <c r="M724" s="70"/>
      <c r="N724" s="70"/>
      <c r="O724" s="70"/>
      <c r="P724" s="70"/>
      <c r="Q724" s="70"/>
      <c r="R724" s="70"/>
      <c r="S724" s="70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65"/>
      <c r="AO724" s="56"/>
      <c r="AP724" s="56"/>
      <c r="AQ724" s="56"/>
      <c r="AR724" s="56"/>
    </row>
    <row r="725">
      <c r="A725" s="65"/>
      <c r="B725" s="65"/>
      <c r="C725" s="65"/>
      <c r="D725" s="65"/>
      <c r="E725" s="65"/>
      <c r="F725" s="65"/>
      <c r="G725" s="65"/>
      <c r="H725" s="65"/>
      <c r="I725" s="69"/>
      <c r="J725" s="70"/>
      <c r="K725" s="70"/>
      <c r="L725" s="69"/>
      <c r="M725" s="70"/>
      <c r="N725" s="70"/>
      <c r="O725" s="70"/>
      <c r="P725" s="70"/>
      <c r="Q725" s="70"/>
      <c r="R725" s="70"/>
      <c r="S725" s="70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65"/>
      <c r="AO725" s="56"/>
      <c r="AP725" s="56"/>
      <c r="AQ725" s="56"/>
      <c r="AR725" s="56"/>
    </row>
    <row r="726">
      <c r="A726" s="65"/>
      <c r="B726" s="65"/>
      <c r="C726" s="65"/>
      <c r="D726" s="65"/>
      <c r="E726" s="65"/>
      <c r="F726" s="65"/>
      <c r="G726" s="65"/>
      <c r="H726" s="65"/>
      <c r="I726" s="69"/>
      <c r="J726" s="70"/>
      <c r="K726" s="70"/>
      <c r="L726" s="69"/>
      <c r="M726" s="70"/>
      <c r="N726" s="70"/>
      <c r="O726" s="70"/>
      <c r="P726" s="70"/>
      <c r="Q726" s="70"/>
      <c r="R726" s="70"/>
      <c r="S726" s="70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65"/>
      <c r="AO726" s="56"/>
      <c r="AP726" s="56"/>
      <c r="AQ726" s="56"/>
      <c r="AR726" s="56"/>
    </row>
    <row r="727">
      <c r="A727" s="65"/>
      <c r="B727" s="65"/>
      <c r="C727" s="65"/>
      <c r="D727" s="65"/>
      <c r="E727" s="65"/>
      <c r="F727" s="65"/>
      <c r="G727" s="65"/>
      <c r="H727" s="65"/>
      <c r="I727" s="69"/>
      <c r="J727" s="70"/>
      <c r="K727" s="70"/>
      <c r="L727" s="69"/>
      <c r="M727" s="70"/>
      <c r="N727" s="70"/>
      <c r="O727" s="70"/>
      <c r="P727" s="70"/>
      <c r="Q727" s="70"/>
      <c r="R727" s="70"/>
      <c r="S727" s="70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65"/>
      <c r="AO727" s="56"/>
      <c r="AP727" s="56"/>
      <c r="AQ727" s="56"/>
      <c r="AR727" s="56"/>
    </row>
    <row r="728">
      <c r="A728" s="65"/>
      <c r="B728" s="65"/>
      <c r="C728" s="65"/>
      <c r="D728" s="65"/>
      <c r="E728" s="65"/>
      <c r="F728" s="65"/>
      <c r="G728" s="65"/>
      <c r="H728" s="65"/>
      <c r="I728" s="69"/>
      <c r="J728" s="70"/>
      <c r="K728" s="70"/>
      <c r="L728" s="69"/>
      <c r="M728" s="70"/>
      <c r="N728" s="70"/>
      <c r="O728" s="70"/>
      <c r="P728" s="70"/>
      <c r="Q728" s="70"/>
      <c r="R728" s="70"/>
      <c r="S728" s="70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65"/>
      <c r="AO728" s="56"/>
      <c r="AP728" s="56"/>
      <c r="AQ728" s="56"/>
      <c r="AR728" s="56"/>
    </row>
    <row r="729">
      <c r="A729" s="65"/>
      <c r="B729" s="65"/>
      <c r="C729" s="65"/>
      <c r="D729" s="65"/>
      <c r="E729" s="65"/>
      <c r="F729" s="65"/>
      <c r="G729" s="65"/>
      <c r="H729" s="65"/>
      <c r="I729" s="69"/>
      <c r="J729" s="70"/>
      <c r="K729" s="70"/>
      <c r="L729" s="69"/>
      <c r="M729" s="70"/>
      <c r="N729" s="70"/>
      <c r="O729" s="70"/>
      <c r="P729" s="70"/>
      <c r="Q729" s="70"/>
      <c r="R729" s="70"/>
      <c r="S729" s="70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65"/>
      <c r="AO729" s="56"/>
      <c r="AP729" s="56"/>
      <c r="AQ729" s="56"/>
      <c r="AR729" s="56"/>
    </row>
    <row r="730">
      <c r="A730" s="65"/>
      <c r="B730" s="65"/>
      <c r="C730" s="65"/>
      <c r="D730" s="65"/>
      <c r="E730" s="65"/>
      <c r="F730" s="65"/>
      <c r="G730" s="65"/>
      <c r="H730" s="65"/>
      <c r="I730" s="69"/>
      <c r="J730" s="70"/>
      <c r="K730" s="70"/>
      <c r="L730" s="69"/>
      <c r="M730" s="70"/>
      <c r="N730" s="70"/>
      <c r="O730" s="70"/>
      <c r="P730" s="70"/>
      <c r="Q730" s="70"/>
      <c r="R730" s="70"/>
      <c r="S730" s="70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65"/>
      <c r="AO730" s="56"/>
      <c r="AP730" s="56"/>
      <c r="AQ730" s="56"/>
      <c r="AR730" s="56"/>
    </row>
    <row r="731">
      <c r="A731" s="65"/>
      <c r="B731" s="65"/>
      <c r="C731" s="65"/>
      <c r="D731" s="65"/>
      <c r="E731" s="65"/>
      <c r="F731" s="65"/>
      <c r="G731" s="65"/>
      <c r="H731" s="65"/>
      <c r="I731" s="69"/>
      <c r="J731" s="70"/>
      <c r="K731" s="70"/>
      <c r="L731" s="69"/>
      <c r="M731" s="70"/>
      <c r="N731" s="70"/>
      <c r="O731" s="70"/>
      <c r="P731" s="70"/>
      <c r="Q731" s="70"/>
      <c r="R731" s="70"/>
      <c r="S731" s="70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65"/>
      <c r="AO731" s="56"/>
      <c r="AP731" s="56"/>
      <c r="AQ731" s="56"/>
      <c r="AR731" s="56"/>
    </row>
    <row r="732">
      <c r="A732" s="65"/>
      <c r="B732" s="65"/>
      <c r="C732" s="65"/>
      <c r="D732" s="65"/>
      <c r="E732" s="65"/>
      <c r="F732" s="65"/>
      <c r="G732" s="65"/>
      <c r="H732" s="65"/>
      <c r="I732" s="69"/>
      <c r="J732" s="70"/>
      <c r="K732" s="70"/>
      <c r="L732" s="69"/>
      <c r="M732" s="70"/>
      <c r="N732" s="70"/>
      <c r="O732" s="70"/>
      <c r="P732" s="70"/>
      <c r="Q732" s="70"/>
      <c r="R732" s="70"/>
      <c r="S732" s="70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65"/>
      <c r="AO732" s="56"/>
      <c r="AP732" s="56"/>
      <c r="AQ732" s="56"/>
      <c r="AR732" s="56"/>
    </row>
    <row r="733">
      <c r="A733" s="65"/>
      <c r="B733" s="65"/>
      <c r="C733" s="65"/>
      <c r="D733" s="65"/>
      <c r="E733" s="65"/>
      <c r="F733" s="65"/>
      <c r="G733" s="65"/>
      <c r="H733" s="65"/>
      <c r="I733" s="69"/>
      <c r="J733" s="70"/>
      <c r="K733" s="70"/>
      <c r="L733" s="69"/>
      <c r="M733" s="70"/>
      <c r="N733" s="70"/>
      <c r="O733" s="70"/>
      <c r="P733" s="70"/>
      <c r="Q733" s="70"/>
      <c r="R733" s="70"/>
      <c r="S733" s="70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65"/>
      <c r="AO733" s="56"/>
      <c r="AP733" s="56"/>
      <c r="AQ733" s="56"/>
      <c r="AR733" s="56"/>
    </row>
    <row r="734">
      <c r="A734" s="65"/>
      <c r="B734" s="65"/>
      <c r="C734" s="65"/>
      <c r="D734" s="65"/>
      <c r="E734" s="65"/>
      <c r="F734" s="65"/>
      <c r="G734" s="65"/>
      <c r="H734" s="65"/>
      <c r="I734" s="69"/>
      <c r="J734" s="70"/>
      <c r="K734" s="70"/>
      <c r="L734" s="69"/>
      <c r="M734" s="70"/>
      <c r="N734" s="70"/>
      <c r="O734" s="70"/>
      <c r="P734" s="70"/>
      <c r="Q734" s="70"/>
      <c r="R734" s="70"/>
      <c r="S734" s="70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65"/>
      <c r="AO734" s="56"/>
      <c r="AP734" s="56"/>
      <c r="AQ734" s="56"/>
      <c r="AR734" s="56"/>
    </row>
    <row r="735">
      <c r="A735" s="65"/>
      <c r="B735" s="65"/>
      <c r="C735" s="65"/>
      <c r="D735" s="65"/>
      <c r="E735" s="65"/>
      <c r="F735" s="65"/>
      <c r="G735" s="65"/>
      <c r="H735" s="65"/>
      <c r="I735" s="69"/>
      <c r="J735" s="70"/>
      <c r="K735" s="70"/>
      <c r="L735" s="69"/>
      <c r="M735" s="70"/>
      <c r="N735" s="70"/>
      <c r="O735" s="70"/>
      <c r="P735" s="70"/>
      <c r="Q735" s="70"/>
      <c r="R735" s="70"/>
      <c r="S735" s="70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65"/>
      <c r="AO735" s="56"/>
      <c r="AP735" s="56"/>
      <c r="AQ735" s="56"/>
      <c r="AR735" s="56"/>
    </row>
    <row r="736">
      <c r="A736" s="65"/>
      <c r="B736" s="65"/>
      <c r="C736" s="65"/>
      <c r="D736" s="65"/>
      <c r="E736" s="65"/>
      <c r="F736" s="65"/>
      <c r="G736" s="65"/>
      <c r="H736" s="65"/>
      <c r="I736" s="69"/>
      <c r="J736" s="70"/>
      <c r="K736" s="70"/>
      <c r="L736" s="69"/>
      <c r="M736" s="70"/>
      <c r="N736" s="70"/>
      <c r="O736" s="70"/>
      <c r="P736" s="70"/>
      <c r="Q736" s="70"/>
      <c r="R736" s="70"/>
      <c r="S736" s="70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65"/>
      <c r="AO736" s="56"/>
      <c r="AP736" s="56"/>
      <c r="AQ736" s="56"/>
      <c r="AR736" s="56"/>
    </row>
    <row r="737">
      <c r="A737" s="65"/>
      <c r="B737" s="65"/>
      <c r="C737" s="65"/>
      <c r="D737" s="65"/>
      <c r="E737" s="65"/>
      <c r="F737" s="65"/>
      <c r="G737" s="65"/>
      <c r="H737" s="65"/>
      <c r="I737" s="69"/>
      <c r="J737" s="70"/>
      <c r="K737" s="70"/>
      <c r="L737" s="69"/>
      <c r="M737" s="70"/>
      <c r="N737" s="70"/>
      <c r="O737" s="70"/>
      <c r="P737" s="70"/>
      <c r="Q737" s="70"/>
      <c r="R737" s="70"/>
      <c r="S737" s="70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65"/>
      <c r="AO737" s="56"/>
      <c r="AP737" s="56"/>
      <c r="AQ737" s="56"/>
      <c r="AR737" s="56"/>
    </row>
    <row r="738">
      <c r="A738" s="65"/>
      <c r="B738" s="65"/>
      <c r="C738" s="65"/>
      <c r="D738" s="65"/>
      <c r="E738" s="65"/>
      <c r="F738" s="65"/>
      <c r="G738" s="65"/>
      <c r="H738" s="65"/>
      <c r="I738" s="69"/>
      <c r="J738" s="70"/>
      <c r="K738" s="70"/>
      <c r="L738" s="69"/>
      <c r="M738" s="70"/>
      <c r="N738" s="70"/>
      <c r="O738" s="70"/>
      <c r="P738" s="70"/>
      <c r="Q738" s="70"/>
      <c r="R738" s="70"/>
      <c r="S738" s="70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65"/>
      <c r="AO738" s="56"/>
      <c r="AP738" s="56"/>
      <c r="AQ738" s="56"/>
      <c r="AR738" s="56"/>
    </row>
    <row r="739">
      <c r="A739" s="65"/>
      <c r="B739" s="65"/>
      <c r="C739" s="65"/>
      <c r="D739" s="65"/>
      <c r="E739" s="65"/>
      <c r="F739" s="65"/>
      <c r="G739" s="65"/>
      <c r="H739" s="65"/>
      <c r="I739" s="69"/>
      <c r="J739" s="70"/>
      <c r="K739" s="70"/>
      <c r="L739" s="69"/>
      <c r="M739" s="70"/>
      <c r="N739" s="70"/>
      <c r="O739" s="70"/>
      <c r="P739" s="70"/>
      <c r="Q739" s="70"/>
      <c r="R739" s="70"/>
      <c r="S739" s="70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65"/>
      <c r="AO739" s="56"/>
      <c r="AP739" s="56"/>
      <c r="AQ739" s="56"/>
      <c r="AR739" s="56"/>
    </row>
    <row r="740">
      <c r="A740" s="65"/>
      <c r="B740" s="65"/>
      <c r="C740" s="65"/>
      <c r="D740" s="65"/>
      <c r="E740" s="65"/>
      <c r="F740" s="65"/>
      <c r="G740" s="65"/>
      <c r="H740" s="65"/>
      <c r="I740" s="69"/>
      <c r="J740" s="70"/>
      <c r="K740" s="70"/>
      <c r="L740" s="69"/>
      <c r="M740" s="70"/>
      <c r="N740" s="70"/>
      <c r="O740" s="70"/>
      <c r="P740" s="70"/>
      <c r="Q740" s="70"/>
      <c r="R740" s="70"/>
      <c r="S740" s="70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65"/>
      <c r="AO740" s="56"/>
      <c r="AP740" s="56"/>
      <c r="AQ740" s="56"/>
      <c r="AR740" s="56"/>
    </row>
    <row r="741">
      <c r="A741" s="65"/>
      <c r="B741" s="65"/>
      <c r="C741" s="65"/>
      <c r="D741" s="65"/>
      <c r="E741" s="65"/>
      <c r="F741" s="65"/>
      <c r="G741" s="65"/>
      <c r="H741" s="65"/>
      <c r="I741" s="69"/>
      <c r="J741" s="70"/>
      <c r="K741" s="70"/>
      <c r="L741" s="69"/>
      <c r="M741" s="70"/>
      <c r="N741" s="70"/>
      <c r="O741" s="70"/>
      <c r="P741" s="70"/>
      <c r="Q741" s="70"/>
      <c r="R741" s="70"/>
      <c r="S741" s="70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65"/>
      <c r="AO741" s="56"/>
      <c r="AP741" s="56"/>
      <c r="AQ741" s="56"/>
      <c r="AR741" s="56"/>
    </row>
    <row r="742">
      <c r="A742" s="65"/>
      <c r="B742" s="65"/>
      <c r="C742" s="65"/>
      <c r="D742" s="65"/>
      <c r="E742" s="65"/>
      <c r="F742" s="65"/>
      <c r="G742" s="65"/>
      <c r="H742" s="65"/>
      <c r="I742" s="69"/>
      <c r="J742" s="70"/>
      <c r="K742" s="70"/>
      <c r="L742" s="69"/>
      <c r="M742" s="70"/>
      <c r="N742" s="70"/>
      <c r="O742" s="70"/>
      <c r="P742" s="70"/>
      <c r="Q742" s="70"/>
      <c r="R742" s="70"/>
      <c r="S742" s="70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65"/>
      <c r="AO742" s="56"/>
      <c r="AP742" s="56"/>
      <c r="AQ742" s="56"/>
      <c r="AR742" s="56"/>
    </row>
    <row r="743">
      <c r="A743" s="65"/>
      <c r="B743" s="65"/>
      <c r="C743" s="65"/>
      <c r="D743" s="65"/>
      <c r="E743" s="65"/>
      <c r="F743" s="65"/>
      <c r="G743" s="65"/>
      <c r="H743" s="65"/>
      <c r="I743" s="69"/>
      <c r="J743" s="70"/>
      <c r="K743" s="70"/>
      <c r="L743" s="69"/>
      <c r="M743" s="70"/>
      <c r="N743" s="70"/>
      <c r="O743" s="70"/>
      <c r="P743" s="70"/>
      <c r="Q743" s="70"/>
      <c r="R743" s="70"/>
      <c r="S743" s="70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65"/>
      <c r="AO743" s="56"/>
      <c r="AP743" s="56"/>
      <c r="AQ743" s="56"/>
      <c r="AR743" s="56"/>
    </row>
    <row r="744">
      <c r="A744" s="65"/>
      <c r="B744" s="65"/>
      <c r="C744" s="65"/>
      <c r="D744" s="65"/>
      <c r="E744" s="65"/>
      <c r="F744" s="65"/>
      <c r="G744" s="65"/>
      <c r="H744" s="65"/>
      <c r="I744" s="69"/>
      <c r="J744" s="70"/>
      <c r="K744" s="70"/>
      <c r="L744" s="69"/>
      <c r="M744" s="70"/>
      <c r="N744" s="70"/>
      <c r="O744" s="70"/>
      <c r="P744" s="70"/>
      <c r="Q744" s="70"/>
      <c r="R744" s="70"/>
      <c r="S744" s="70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65"/>
      <c r="AO744" s="56"/>
      <c r="AP744" s="56"/>
      <c r="AQ744" s="56"/>
      <c r="AR744" s="56"/>
    </row>
    <row r="745">
      <c r="A745" s="65"/>
      <c r="B745" s="65"/>
      <c r="C745" s="65"/>
      <c r="D745" s="65"/>
      <c r="E745" s="65"/>
      <c r="F745" s="65"/>
      <c r="G745" s="65"/>
      <c r="H745" s="65"/>
      <c r="I745" s="69"/>
      <c r="J745" s="70"/>
      <c r="K745" s="70"/>
      <c r="L745" s="69"/>
      <c r="M745" s="70"/>
      <c r="N745" s="70"/>
      <c r="O745" s="70"/>
      <c r="P745" s="70"/>
      <c r="Q745" s="70"/>
      <c r="R745" s="70"/>
      <c r="S745" s="70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65"/>
      <c r="AO745" s="56"/>
      <c r="AP745" s="56"/>
      <c r="AQ745" s="56"/>
      <c r="AR745" s="56"/>
    </row>
    <row r="746">
      <c r="A746" s="65"/>
      <c r="B746" s="65"/>
      <c r="C746" s="65"/>
      <c r="D746" s="65"/>
      <c r="E746" s="65"/>
      <c r="F746" s="65"/>
      <c r="G746" s="65"/>
      <c r="H746" s="65"/>
      <c r="I746" s="69"/>
      <c r="J746" s="70"/>
      <c r="K746" s="70"/>
      <c r="L746" s="69"/>
      <c r="M746" s="70"/>
      <c r="N746" s="70"/>
      <c r="O746" s="70"/>
      <c r="P746" s="70"/>
      <c r="Q746" s="70"/>
      <c r="R746" s="70"/>
      <c r="S746" s="70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65"/>
      <c r="AO746" s="56"/>
      <c r="AP746" s="56"/>
      <c r="AQ746" s="56"/>
      <c r="AR746" s="56"/>
    </row>
    <row r="747">
      <c r="A747" s="65"/>
      <c r="B747" s="65"/>
      <c r="C747" s="65"/>
      <c r="D747" s="65"/>
      <c r="E747" s="65"/>
      <c r="F747" s="65"/>
      <c r="G747" s="65"/>
      <c r="H747" s="65"/>
      <c r="I747" s="69"/>
      <c r="J747" s="70"/>
      <c r="K747" s="70"/>
      <c r="L747" s="69"/>
      <c r="M747" s="70"/>
      <c r="N747" s="70"/>
      <c r="O747" s="70"/>
      <c r="P747" s="70"/>
      <c r="Q747" s="70"/>
      <c r="R747" s="70"/>
      <c r="S747" s="70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65"/>
      <c r="AO747" s="56"/>
      <c r="AP747" s="56"/>
      <c r="AQ747" s="56"/>
      <c r="AR747" s="56"/>
    </row>
    <row r="748">
      <c r="A748" s="65"/>
      <c r="B748" s="65"/>
      <c r="C748" s="65"/>
      <c r="D748" s="65"/>
      <c r="E748" s="65"/>
      <c r="F748" s="65"/>
      <c r="G748" s="65"/>
      <c r="H748" s="65"/>
      <c r="I748" s="69"/>
      <c r="J748" s="70"/>
      <c r="K748" s="70"/>
      <c r="L748" s="69"/>
      <c r="M748" s="70"/>
      <c r="N748" s="70"/>
      <c r="O748" s="70"/>
      <c r="P748" s="70"/>
      <c r="Q748" s="70"/>
      <c r="R748" s="70"/>
      <c r="S748" s="70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65"/>
      <c r="AO748" s="56"/>
      <c r="AP748" s="56"/>
      <c r="AQ748" s="56"/>
      <c r="AR748" s="56"/>
    </row>
    <row r="749">
      <c r="A749" s="65"/>
      <c r="B749" s="65"/>
      <c r="C749" s="65"/>
      <c r="D749" s="65"/>
      <c r="E749" s="65"/>
      <c r="F749" s="65"/>
      <c r="G749" s="65"/>
      <c r="H749" s="65"/>
      <c r="I749" s="69"/>
      <c r="J749" s="70"/>
      <c r="K749" s="70"/>
      <c r="L749" s="69"/>
      <c r="M749" s="70"/>
      <c r="N749" s="70"/>
      <c r="O749" s="70"/>
      <c r="P749" s="70"/>
      <c r="Q749" s="70"/>
      <c r="R749" s="70"/>
      <c r="S749" s="70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65"/>
      <c r="AO749" s="56"/>
      <c r="AP749" s="56"/>
      <c r="AQ749" s="56"/>
      <c r="AR749" s="56"/>
    </row>
    <row r="750">
      <c r="A750" s="65"/>
      <c r="B750" s="65"/>
      <c r="C750" s="65"/>
      <c r="D750" s="65"/>
      <c r="E750" s="65"/>
      <c r="F750" s="65"/>
      <c r="G750" s="65"/>
      <c r="H750" s="65"/>
      <c r="I750" s="69"/>
      <c r="J750" s="70"/>
      <c r="K750" s="70"/>
      <c r="L750" s="69"/>
      <c r="M750" s="70"/>
      <c r="N750" s="70"/>
      <c r="O750" s="70"/>
      <c r="P750" s="70"/>
      <c r="Q750" s="70"/>
      <c r="R750" s="70"/>
      <c r="S750" s="70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65"/>
      <c r="AO750" s="56"/>
      <c r="AP750" s="56"/>
      <c r="AQ750" s="56"/>
      <c r="AR750" s="56"/>
    </row>
    <row r="751">
      <c r="A751" s="65"/>
      <c r="B751" s="65"/>
      <c r="C751" s="65"/>
      <c r="D751" s="65"/>
      <c r="E751" s="65"/>
      <c r="F751" s="65"/>
      <c r="G751" s="65"/>
      <c r="H751" s="65"/>
      <c r="I751" s="69"/>
      <c r="J751" s="70"/>
      <c r="K751" s="70"/>
      <c r="L751" s="69"/>
      <c r="M751" s="70"/>
      <c r="N751" s="70"/>
      <c r="O751" s="70"/>
      <c r="P751" s="70"/>
      <c r="Q751" s="70"/>
      <c r="R751" s="70"/>
      <c r="S751" s="70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65"/>
      <c r="AO751" s="56"/>
      <c r="AP751" s="56"/>
      <c r="AQ751" s="56"/>
      <c r="AR751" s="56"/>
    </row>
    <row r="752">
      <c r="A752" s="65"/>
      <c r="B752" s="65"/>
      <c r="C752" s="65"/>
      <c r="D752" s="65"/>
      <c r="E752" s="65"/>
      <c r="F752" s="65"/>
      <c r="G752" s="65"/>
      <c r="H752" s="65"/>
      <c r="I752" s="69"/>
      <c r="J752" s="70"/>
      <c r="K752" s="70"/>
      <c r="L752" s="69"/>
      <c r="M752" s="70"/>
      <c r="N752" s="70"/>
      <c r="O752" s="70"/>
      <c r="P752" s="70"/>
      <c r="Q752" s="70"/>
      <c r="R752" s="70"/>
      <c r="S752" s="70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65"/>
      <c r="AO752" s="56"/>
      <c r="AP752" s="56"/>
      <c r="AQ752" s="56"/>
      <c r="AR752" s="56"/>
    </row>
    <row r="753">
      <c r="A753" s="65"/>
      <c r="B753" s="65"/>
      <c r="C753" s="65"/>
      <c r="D753" s="65"/>
      <c r="E753" s="65"/>
      <c r="F753" s="65"/>
      <c r="G753" s="65"/>
      <c r="H753" s="65"/>
      <c r="I753" s="69"/>
      <c r="J753" s="70"/>
      <c r="K753" s="70"/>
      <c r="L753" s="69"/>
      <c r="M753" s="70"/>
      <c r="N753" s="70"/>
      <c r="O753" s="70"/>
      <c r="P753" s="70"/>
      <c r="Q753" s="70"/>
      <c r="R753" s="70"/>
      <c r="S753" s="70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65"/>
      <c r="AO753" s="56"/>
      <c r="AP753" s="56"/>
      <c r="AQ753" s="56"/>
      <c r="AR753" s="56"/>
    </row>
    <row r="754">
      <c r="A754" s="65"/>
      <c r="B754" s="65"/>
      <c r="C754" s="65"/>
      <c r="D754" s="65"/>
      <c r="E754" s="65"/>
      <c r="F754" s="65"/>
      <c r="G754" s="65"/>
      <c r="H754" s="65"/>
      <c r="I754" s="69"/>
      <c r="J754" s="70"/>
      <c r="K754" s="70"/>
      <c r="L754" s="69"/>
      <c r="M754" s="70"/>
      <c r="N754" s="70"/>
      <c r="O754" s="70"/>
      <c r="P754" s="70"/>
      <c r="Q754" s="70"/>
      <c r="R754" s="70"/>
      <c r="S754" s="70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65"/>
      <c r="AO754" s="56"/>
      <c r="AP754" s="56"/>
      <c r="AQ754" s="56"/>
      <c r="AR754" s="56"/>
    </row>
    <row r="755">
      <c r="A755" s="65"/>
      <c r="B755" s="65"/>
      <c r="C755" s="65"/>
      <c r="D755" s="65"/>
      <c r="E755" s="65"/>
      <c r="F755" s="65"/>
      <c r="G755" s="65"/>
      <c r="H755" s="65"/>
      <c r="I755" s="69"/>
      <c r="J755" s="70"/>
      <c r="K755" s="70"/>
      <c r="L755" s="69"/>
      <c r="M755" s="70"/>
      <c r="N755" s="70"/>
      <c r="O755" s="70"/>
      <c r="P755" s="70"/>
      <c r="Q755" s="70"/>
      <c r="R755" s="70"/>
      <c r="S755" s="70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65"/>
      <c r="AO755" s="56"/>
      <c r="AP755" s="56"/>
      <c r="AQ755" s="56"/>
      <c r="AR755" s="56"/>
    </row>
    <row r="756">
      <c r="A756" s="65"/>
      <c r="B756" s="65"/>
      <c r="C756" s="65"/>
      <c r="D756" s="65"/>
      <c r="E756" s="65"/>
      <c r="F756" s="65"/>
      <c r="G756" s="65"/>
      <c r="H756" s="65"/>
      <c r="I756" s="69"/>
      <c r="J756" s="70"/>
      <c r="K756" s="70"/>
      <c r="L756" s="69"/>
      <c r="M756" s="70"/>
      <c r="N756" s="70"/>
      <c r="O756" s="70"/>
      <c r="P756" s="70"/>
      <c r="Q756" s="70"/>
      <c r="R756" s="70"/>
      <c r="S756" s="70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65"/>
      <c r="AO756" s="56"/>
      <c r="AP756" s="56"/>
      <c r="AQ756" s="56"/>
      <c r="AR756" s="56"/>
    </row>
    <row r="757">
      <c r="A757" s="65"/>
      <c r="B757" s="65"/>
      <c r="C757" s="65"/>
      <c r="D757" s="65"/>
      <c r="E757" s="65"/>
      <c r="F757" s="65"/>
      <c r="G757" s="65"/>
      <c r="H757" s="65"/>
      <c r="I757" s="69"/>
      <c r="J757" s="70"/>
      <c r="K757" s="70"/>
      <c r="L757" s="69"/>
      <c r="M757" s="70"/>
      <c r="N757" s="70"/>
      <c r="O757" s="70"/>
      <c r="P757" s="70"/>
      <c r="Q757" s="70"/>
      <c r="R757" s="70"/>
      <c r="S757" s="70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65"/>
      <c r="AO757" s="56"/>
      <c r="AP757" s="56"/>
      <c r="AQ757" s="56"/>
      <c r="AR757" s="56"/>
    </row>
    <row r="758">
      <c r="A758" s="65"/>
      <c r="B758" s="65"/>
      <c r="C758" s="65"/>
      <c r="D758" s="65"/>
      <c r="E758" s="65"/>
      <c r="F758" s="65"/>
      <c r="G758" s="65"/>
      <c r="H758" s="65"/>
      <c r="I758" s="69"/>
      <c r="J758" s="70"/>
      <c r="K758" s="70"/>
      <c r="L758" s="69"/>
      <c r="M758" s="70"/>
      <c r="N758" s="70"/>
      <c r="O758" s="70"/>
      <c r="P758" s="70"/>
      <c r="Q758" s="70"/>
      <c r="R758" s="70"/>
      <c r="S758" s="70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65"/>
      <c r="AO758" s="56"/>
      <c r="AP758" s="56"/>
      <c r="AQ758" s="56"/>
      <c r="AR758" s="56"/>
    </row>
    <row r="759">
      <c r="A759" s="65"/>
      <c r="B759" s="65"/>
      <c r="C759" s="65"/>
      <c r="D759" s="65"/>
      <c r="E759" s="65"/>
      <c r="F759" s="65"/>
      <c r="G759" s="65"/>
      <c r="H759" s="65"/>
      <c r="I759" s="69"/>
      <c r="J759" s="70"/>
      <c r="K759" s="70"/>
      <c r="L759" s="69"/>
      <c r="M759" s="70"/>
      <c r="N759" s="70"/>
      <c r="O759" s="70"/>
      <c r="P759" s="70"/>
      <c r="Q759" s="70"/>
      <c r="R759" s="70"/>
      <c r="S759" s="70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65"/>
      <c r="AO759" s="56"/>
      <c r="AP759" s="56"/>
      <c r="AQ759" s="56"/>
      <c r="AR759" s="56"/>
    </row>
    <row r="760">
      <c r="A760" s="65"/>
      <c r="B760" s="65"/>
      <c r="C760" s="65"/>
      <c r="D760" s="65"/>
      <c r="E760" s="65"/>
      <c r="F760" s="65"/>
      <c r="G760" s="65"/>
      <c r="H760" s="65"/>
      <c r="I760" s="69"/>
      <c r="J760" s="70"/>
      <c r="K760" s="70"/>
      <c r="L760" s="69"/>
      <c r="M760" s="70"/>
      <c r="N760" s="70"/>
      <c r="O760" s="70"/>
      <c r="P760" s="70"/>
      <c r="Q760" s="70"/>
      <c r="R760" s="70"/>
      <c r="S760" s="70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65"/>
      <c r="AO760" s="56"/>
      <c r="AP760" s="56"/>
      <c r="AQ760" s="56"/>
      <c r="AR760" s="56"/>
    </row>
    <row r="761">
      <c r="A761" s="65"/>
      <c r="B761" s="65"/>
      <c r="C761" s="65"/>
      <c r="D761" s="65"/>
      <c r="E761" s="65"/>
      <c r="F761" s="65"/>
      <c r="G761" s="65"/>
      <c r="H761" s="65"/>
      <c r="I761" s="69"/>
      <c r="J761" s="70"/>
      <c r="K761" s="70"/>
      <c r="L761" s="69"/>
      <c r="M761" s="70"/>
      <c r="N761" s="70"/>
      <c r="O761" s="70"/>
      <c r="P761" s="70"/>
      <c r="Q761" s="70"/>
      <c r="R761" s="70"/>
      <c r="S761" s="70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65"/>
      <c r="AO761" s="56"/>
      <c r="AP761" s="56"/>
      <c r="AQ761" s="56"/>
      <c r="AR761" s="56"/>
    </row>
    <row r="762">
      <c r="A762" s="65"/>
      <c r="B762" s="65"/>
      <c r="C762" s="65"/>
      <c r="D762" s="65"/>
      <c r="E762" s="65"/>
      <c r="F762" s="65"/>
      <c r="G762" s="65"/>
      <c r="H762" s="65"/>
      <c r="I762" s="69"/>
      <c r="J762" s="70"/>
      <c r="K762" s="70"/>
      <c r="L762" s="69"/>
      <c r="M762" s="70"/>
      <c r="N762" s="70"/>
      <c r="O762" s="70"/>
      <c r="P762" s="70"/>
      <c r="Q762" s="70"/>
      <c r="R762" s="70"/>
      <c r="S762" s="70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65"/>
      <c r="AO762" s="56"/>
      <c r="AP762" s="56"/>
      <c r="AQ762" s="56"/>
      <c r="AR762" s="56"/>
    </row>
    <row r="763">
      <c r="A763" s="65"/>
      <c r="B763" s="65"/>
      <c r="C763" s="65"/>
      <c r="D763" s="65"/>
      <c r="E763" s="65"/>
      <c r="F763" s="65"/>
      <c r="G763" s="65"/>
      <c r="H763" s="65"/>
      <c r="I763" s="69"/>
      <c r="J763" s="70"/>
      <c r="K763" s="70"/>
      <c r="L763" s="69"/>
      <c r="M763" s="70"/>
      <c r="N763" s="70"/>
      <c r="O763" s="70"/>
      <c r="P763" s="70"/>
      <c r="Q763" s="70"/>
      <c r="R763" s="70"/>
      <c r="S763" s="70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65"/>
      <c r="AO763" s="56"/>
      <c r="AP763" s="56"/>
      <c r="AQ763" s="56"/>
      <c r="AR763" s="56"/>
    </row>
    <row r="764">
      <c r="A764" s="65"/>
      <c r="B764" s="65"/>
      <c r="C764" s="65"/>
      <c r="D764" s="65"/>
      <c r="E764" s="65"/>
      <c r="F764" s="65"/>
      <c r="G764" s="65"/>
      <c r="H764" s="65"/>
      <c r="I764" s="69"/>
      <c r="J764" s="70"/>
      <c r="K764" s="70"/>
      <c r="L764" s="69"/>
      <c r="M764" s="70"/>
      <c r="N764" s="70"/>
      <c r="O764" s="70"/>
      <c r="P764" s="70"/>
      <c r="Q764" s="70"/>
      <c r="R764" s="70"/>
      <c r="S764" s="70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65"/>
      <c r="AO764" s="56"/>
      <c r="AP764" s="56"/>
      <c r="AQ764" s="56"/>
      <c r="AR764" s="56"/>
    </row>
    <row r="765">
      <c r="A765" s="65"/>
      <c r="B765" s="65"/>
      <c r="C765" s="65"/>
      <c r="D765" s="65"/>
      <c r="E765" s="65"/>
      <c r="F765" s="65"/>
      <c r="G765" s="65"/>
      <c r="H765" s="65"/>
      <c r="I765" s="69"/>
      <c r="J765" s="70"/>
      <c r="K765" s="70"/>
      <c r="L765" s="69"/>
      <c r="M765" s="70"/>
      <c r="N765" s="70"/>
      <c r="O765" s="70"/>
      <c r="P765" s="70"/>
      <c r="Q765" s="70"/>
      <c r="R765" s="70"/>
      <c r="S765" s="70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65"/>
      <c r="AO765" s="56"/>
      <c r="AP765" s="56"/>
      <c r="AQ765" s="56"/>
      <c r="AR765" s="56"/>
    </row>
    <row r="766">
      <c r="A766" s="65"/>
      <c r="B766" s="65"/>
      <c r="C766" s="65"/>
      <c r="D766" s="65"/>
      <c r="E766" s="65"/>
      <c r="F766" s="65"/>
      <c r="G766" s="65"/>
      <c r="H766" s="65"/>
      <c r="I766" s="69"/>
      <c r="J766" s="70"/>
      <c r="K766" s="70"/>
      <c r="L766" s="69"/>
      <c r="M766" s="70"/>
      <c r="N766" s="70"/>
      <c r="O766" s="70"/>
      <c r="P766" s="70"/>
      <c r="Q766" s="70"/>
      <c r="R766" s="70"/>
      <c r="S766" s="70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65"/>
      <c r="AO766" s="56"/>
      <c r="AP766" s="56"/>
      <c r="AQ766" s="56"/>
      <c r="AR766" s="56"/>
    </row>
    <row r="767">
      <c r="A767" s="65"/>
      <c r="B767" s="65"/>
      <c r="C767" s="65"/>
      <c r="D767" s="65"/>
      <c r="E767" s="65"/>
      <c r="F767" s="65"/>
      <c r="G767" s="65"/>
      <c r="H767" s="65"/>
      <c r="I767" s="69"/>
      <c r="J767" s="70"/>
      <c r="K767" s="70"/>
      <c r="L767" s="69"/>
      <c r="M767" s="70"/>
      <c r="N767" s="70"/>
      <c r="O767" s="70"/>
      <c r="P767" s="70"/>
      <c r="Q767" s="70"/>
      <c r="R767" s="70"/>
      <c r="S767" s="70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65"/>
      <c r="AO767" s="56"/>
      <c r="AP767" s="56"/>
      <c r="AQ767" s="56"/>
      <c r="AR767" s="56"/>
    </row>
    <row r="768">
      <c r="A768" s="65"/>
      <c r="B768" s="65"/>
      <c r="C768" s="65"/>
      <c r="D768" s="65"/>
      <c r="E768" s="65"/>
      <c r="F768" s="65"/>
      <c r="G768" s="65"/>
      <c r="H768" s="65"/>
      <c r="I768" s="69"/>
      <c r="J768" s="70"/>
      <c r="K768" s="70"/>
      <c r="L768" s="69"/>
      <c r="M768" s="70"/>
      <c r="N768" s="70"/>
      <c r="O768" s="70"/>
      <c r="P768" s="70"/>
      <c r="Q768" s="70"/>
      <c r="R768" s="70"/>
      <c r="S768" s="70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65"/>
      <c r="AO768" s="56"/>
      <c r="AP768" s="56"/>
      <c r="AQ768" s="56"/>
      <c r="AR768" s="56"/>
    </row>
    <row r="769">
      <c r="A769" s="65"/>
      <c r="B769" s="65"/>
      <c r="C769" s="65"/>
      <c r="D769" s="65"/>
      <c r="E769" s="65"/>
      <c r="F769" s="65"/>
      <c r="G769" s="65"/>
      <c r="H769" s="65"/>
      <c r="I769" s="69"/>
      <c r="J769" s="70"/>
      <c r="K769" s="70"/>
      <c r="L769" s="69"/>
      <c r="M769" s="70"/>
      <c r="N769" s="70"/>
      <c r="O769" s="70"/>
      <c r="P769" s="70"/>
      <c r="Q769" s="70"/>
      <c r="R769" s="70"/>
      <c r="S769" s="70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65"/>
      <c r="AO769" s="56"/>
      <c r="AP769" s="56"/>
      <c r="AQ769" s="56"/>
      <c r="AR769" s="56"/>
    </row>
    <row r="770">
      <c r="A770" s="65"/>
      <c r="B770" s="65"/>
      <c r="C770" s="65"/>
      <c r="D770" s="65"/>
      <c r="E770" s="65"/>
      <c r="F770" s="65"/>
      <c r="G770" s="65"/>
      <c r="H770" s="65"/>
      <c r="I770" s="69"/>
      <c r="J770" s="70"/>
      <c r="K770" s="70"/>
      <c r="L770" s="69"/>
      <c r="M770" s="70"/>
      <c r="N770" s="70"/>
      <c r="O770" s="70"/>
      <c r="P770" s="70"/>
      <c r="Q770" s="70"/>
      <c r="R770" s="70"/>
      <c r="S770" s="70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65"/>
      <c r="AO770" s="56"/>
      <c r="AP770" s="56"/>
      <c r="AQ770" s="56"/>
      <c r="AR770" s="56"/>
    </row>
    <row r="771">
      <c r="A771" s="65"/>
      <c r="B771" s="65"/>
      <c r="C771" s="65"/>
      <c r="D771" s="65"/>
      <c r="E771" s="65"/>
      <c r="F771" s="65"/>
      <c r="G771" s="65"/>
      <c r="H771" s="65"/>
      <c r="I771" s="69"/>
      <c r="J771" s="70"/>
      <c r="K771" s="70"/>
      <c r="L771" s="69"/>
      <c r="M771" s="70"/>
      <c r="N771" s="70"/>
      <c r="O771" s="70"/>
      <c r="P771" s="70"/>
      <c r="Q771" s="70"/>
      <c r="R771" s="70"/>
      <c r="S771" s="70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65"/>
      <c r="AO771" s="56"/>
      <c r="AP771" s="56"/>
      <c r="AQ771" s="56"/>
      <c r="AR771" s="56"/>
    </row>
    <row r="772">
      <c r="A772" s="65"/>
      <c r="B772" s="65"/>
      <c r="C772" s="65"/>
      <c r="D772" s="65"/>
      <c r="E772" s="65"/>
      <c r="F772" s="65"/>
      <c r="G772" s="65"/>
      <c r="H772" s="65"/>
      <c r="I772" s="69"/>
      <c r="J772" s="70"/>
      <c r="K772" s="70"/>
      <c r="L772" s="69"/>
      <c r="M772" s="70"/>
      <c r="N772" s="70"/>
      <c r="O772" s="70"/>
      <c r="P772" s="70"/>
      <c r="Q772" s="70"/>
      <c r="R772" s="70"/>
      <c r="S772" s="70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65"/>
      <c r="AO772" s="56"/>
      <c r="AP772" s="56"/>
      <c r="AQ772" s="56"/>
      <c r="AR772" s="56"/>
    </row>
    <row r="773">
      <c r="A773" s="65"/>
      <c r="B773" s="65"/>
      <c r="C773" s="65"/>
      <c r="D773" s="65"/>
      <c r="E773" s="65"/>
      <c r="F773" s="65"/>
      <c r="G773" s="65"/>
      <c r="H773" s="65"/>
      <c r="I773" s="69"/>
      <c r="J773" s="70"/>
      <c r="K773" s="70"/>
      <c r="L773" s="69"/>
      <c r="M773" s="70"/>
      <c r="N773" s="70"/>
      <c r="O773" s="70"/>
      <c r="P773" s="70"/>
      <c r="Q773" s="70"/>
      <c r="R773" s="70"/>
      <c r="S773" s="70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65"/>
      <c r="AO773" s="56"/>
      <c r="AP773" s="56"/>
      <c r="AQ773" s="56"/>
      <c r="AR773" s="56"/>
    </row>
    <row r="774">
      <c r="A774" s="65"/>
      <c r="B774" s="65"/>
      <c r="C774" s="65"/>
      <c r="D774" s="65"/>
      <c r="E774" s="65"/>
      <c r="F774" s="65"/>
      <c r="G774" s="65"/>
      <c r="H774" s="65"/>
      <c r="I774" s="69"/>
      <c r="J774" s="70"/>
      <c r="K774" s="70"/>
      <c r="L774" s="69"/>
      <c r="M774" s="70"/>
      <c r="N774" s="70"/>
      <c r="O774" s="70"/>
      <c r="P774" s="70"/>
      <c r="Q774" s="70"/>
      <c r="R774" s="70"/>
      <c r="S774" s="70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65"/>
      <c r="AO774" s="56"/>
      <c r="AP774" s="56"/>
      <c r="AQ774" s="56"/>
      <c r="AR774" s="56"/>
    </row>
    <row r="775">
      <c r="A775" s="65"/>
      <c r="B775" s="65"/>
      <c r="C775" s="65"/>
      <c r="D775" s="65"/>
      <c r="E775" s="65"/>
      <c r="F775" s="65"/>
      <c r="G775" s="65"/>
      <c r="H775" s="65"/>
      <c r="I775" s="69"/>
      <c r="J775" s="70"/>
      <c r="K775" s="70"/>
      <c r="L775" s="69"/>
      <c r="M775" s="70"/>
      <c r="N775" s="70"/>
      <c r="O775" s="70"/>
      <c r="P775" s="70"/>
      <c r="Q775" s="70"/>
      <c r="R775" s="70"/>
      <c r="S775" s="70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65"/>
      <c r="AO775" s="56"/>
      <c r="AP775" s="56"/>
      <c r="AQ775" s="56"/>
      <c r="AR775" s="56"/>
    </row>
    <row r="776">
      <c r="A776" s="65"/>
      <c r="B776" s="65"/>
      <c r="C776" s="65"/>
      <c r="D776" s="65"/>
      <c r="E776" s="65"/>
      <c r="F776" s="65"/>
      <c r="G776" s="65"/>
      <c r="H776" s="65"/>
      <c r="I776" s="69"/>
      <c r="J776" s="70"/>
      <c r="K776" s="70"/>
      <c r="L776" s="69"/>
      <c r="M776" s="70"/>
      <c r="N776" s="70"/>
      <c r="O776" s="70"/>
      <c r="P776" s="70"/>
      <c r="Q776" s="70"/>
      <c r="R776" s="70"/>
      <c r="S776" s="70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65"/>
      <c r="AO776" s="56"/>
      <c r="AP776" s="56"/>
      <c r="AQ776" s="56"/>
      <c r="AR776" s="56"/>
    </row>
    <row r="777">
      <c r="A777" s="65"/>
      <c r="B777" s="65"/>
      <c r="C777" s="65"/>
      <c r="D777" s="65"/>
      <c r="E777" s="65"/>
      <c r="F777" s="65"/>
      <c r="G777" s="65"/>
      <c r="H777" s="65"/>
      <c r="I777" s="69"/>
      <c r="J777" s="70"/>
      <c r="K777" s="70"/>
      <c r="L777" s="69"/>
      <c r="M777" s="70"/>
      <c r="N777" s="70"/>
      <c r="O777" s="70"/>
      <c r="P777" s="70"/>
      <c r="Q777" s="70"/>
      <c r="R777" s="70"/>
      <c r="S777" s="70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65"/>
      <c r="AO777" s="56"/>
      <c r="AP777" s="56"/>
      <c r="AQ777" s="56"/>
      <c r="AR777" s="56"/>
    </row>
    <row r="778">
      <c r="A778" s="65"/>
      <c r="B778" s="65"/>
      <c r="C778" s="65"/>
      <c r="D778" s="65"/>
      <c r="E778" s="65"/>
      <c r="F778" s="65"/>
      <c r="G778" s="65"/>
      <c r="H778" s="65"/>
      <c r="I778" s="69"/>
      <c r="J778" s="70"/>
      <c r="K778" s="70"/>
      <c r="L778" s="69"/>
      <c r="M778" s="70"/>
      <c r="N778" s="70"/>
      <c r="O778" s="70"/>
      <c r="P778" s="70"/>
      <c r="Q778" s="70"/>
      <c r="R778" s="70"/>
      <c r="S778" s="70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65"/>
      <c r="AO778" s="56"/>
      <c r="AP778" s="56"/>
      <c r="AQ778" s="56"/>
      <c r="AR778" s="56"/>
    </row>
    <row r="779">
      <c r="A779" s="65"/>
      <c r="B779" s="65"/>
      <c r="C779" s="65"/>
      <c r="D779" s="65"/>
      <c r="E779" s="65"/>
      <c r="F779" s="65"/>
      <c r="G779" s="65"/>
      <c r="H779" s="65"/>
      <c r="I779" s="69"/>
      <c r="J779" s="70"/>
      <c r="K779" s="70"/>
      <c r="L779" s="69"/>
      <c r="M779" s="70"/>
      <c r="N779" s="70"/>
      <c r="O779" s="70"/>
      <c r="P779" s="70"/>
      <c r="Q779" s="70"/>
      <c r="R779" s="70"/>
      <c r="S779" s="70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65"/>
      <c r="AO779" s="56"/>
      <c r="AP779" s="56"/>
      <c r="AQ779" s="56"/>
      <c r="AR779" s="56"/>
    </row>
    <row r="780">
      <c r="A780" s="65"/>
      <c r="B780" s="65"/>
      <c r="C780" s="65"/>
      <c r="D780" s="65"/>
      <c r="E780" s="65"/>
      <c r="F780" s="65"/>
      <c r="G780" s="65"/>
      <c r="H780" s="65"/>
      <c r="I780" s="69"/>
      <c r="J780" s="70"/>
      <c r="K780" s="70"/>
      <c r="L780" s="69"/>
      <c r="M780" s="70"/>
      <c r="N780" s="70"/>
      <c r="O780" s="70"/>
      <c r="P780" s="70"/>
      <c r="Q780" s="70"/>
      <c r="R780" s="70"/>
      <c r="S780" s="70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65"/>
      <c r="AO780" s="56"/>
      <c r="AP780" s="56"/>
      <c r="AQ780" s="56"/>
      <c r="AR780" s="56"/>
    </row>
    <row r="781">
      <c r="A781" s="65"/>
      <c r="B781" s="65"/>
      <c r="C781" s="65"/>
      <c r="D781" s="65"/>
      <c r="E781" s="65"/>
      <c r="F781" s="65"/>
      <c r="G781" s="65"/>
      <c r="H781" s="65"/>
      <c r="I781" s="69"/>
      <c r="J781" s="70"/>
      <c r="K781" s="70"/>
      <c r="L781" s="69"/>
      <c r="M781" s="70"/>
      <c r="N781" s="70"/>
      <c r="O781" s="70"/>
      <c r="P781" s="70"/>
      <c r="Q781" s="70"/>
      <c r="R781" s="70"/>
      <c r="S781" s="70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65"/>
      <c r="AO781" s="56"/>
      <c r="AP781" s="56"/>
      <c r="AQ781" s="56"/>
      <c r="AR781" s="56"/>
    </row>
    <row r="782">
      <c r="A782" s="65"/>
      <c r="B782" s="65"/>
      <c r="C782" s="65"/>
      <c r="D782" s="65"/>
      <c r="E782" s="65"/>
      <c r="F782" s="65"/>
      <c r="G782" s="65"/>
      <c r="H782" s="65"/>
      <c r="I782" s="69"/>
      <c r="J782" s="70"/>
      <c r="K782" s="70"/>
      <c r="L782" s="69"/>
      <c r="M782" s="70"/>
      <c r="N782" s="70"/>
      <c r="O782" s="70"/>
      <c r="P782" s="70"/>
      <c r="Q782" s="70"/>
      <c r="R782" s="70"/>
      <c r="S782" s="70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65"/>
      <c r="AO782" s="56"/>
      <c r="AP782" s="56"/>
      <c r="AQ782" s="56"/>
      <c r="AR782" s="56"/>
    </row>
    <row r="783">
      <c r="A783" s="65"/>
      <c r="B783" s="65"/>
      <c r="C783" s="65"/>
      <c r="D783" s="65"/>
      <c r="E783" s="65"/>
      <c r="F783" s="65"/>
      <c r="G783" s="65"/>
      <c r="H783" s="65"/>
      <c r="I783" s="69"/>
      <c r="J783" s="70"/>
      <c r="K783" s="70"/>
      <c r="L783" s="69"/>
      <c r="M783" s="70"/>
      <c r="N783" s="70"/>
      <c r="O783" s="70"/>
      <c r="P783" s="70"/>
      <c r="Q783" s="70"/>
      <c r="R783" s="70"/>
      <c r="S783" s="70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65"/>
      <c r="AO783" s="56"/>
      <c r="AP783" s="56"/>
      <c r="AQ783" s="56"/>
      <c r="AR783" s="56"/>
    </row>
    <row r="784">
      <c r="A784" s="65"/>
      <c r="B784" s="65"/>
      <c r="C784" s="65"/>
      <c r="D784" s="65"/>
      <c r="E784" s="65"/>
      <c r="F784" s="65"/>
      <c r="G784" s="65"/>
      <c r="H784" s="65"/>
      <c r="I784" s="69"/>
      <c r="J784" s="70"/>
      <c r="K784" s="70"/>
      <c r="L784" s="69"/>
      <c r="M784" s="70"/>
      <c r="N784" s="70"/>
      <c r="O784" s="70"/>
      <c r="P784" s="70"/>
      <c r="Q784" s="70"/>
      <c r="R784" s="70"/>
      <c r="S784" s="70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65"/>
      <c r="AO784" s="56"/>
      <c r="AP784" s="56"/>
      <c r="AQ784" s="56"/>
      <c r="AR784" s="56"/>
    </row>
    <row r="785">
      <c r="A785" s="65"/>
      <c r="B785" s="65"/>
      <c r="C785" s="65"/>
      <c r="D785" s="65"/>
      <c r="E785" s="65"/>
      <c r="F785" s="65"/>
      <c r="G785" s="65"/>
      <c r="H785" s="65"/>
      <c r="I785" s="69"/>
      <c r="J785" s="70"/>
      <c r="K785" s="70"/>
      <c r="L785" s="69"/>
      <c r="M785" s="70"/>
      <c r="N785" s="70"/>
      <c r="O785" s="70"/>
      <c r="P785" s="70"/>
      <c r="Q785" s="70"/>
      <c r="R785" s="70"/>
      <c r="S785" s="70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65"/>
      <c r="AO785" s="56"/>
      <c r="AP785" s="56"/>
      <c r="AQ785" s="56"/>
      <c r="AR785" s="56"/>
    </row>
    <row r="786">
      <c r="A786" s="65"/>
      <c r="B786" s="65"/>
      <c r="C786" s="65"/>
      <c r="D786" s="65"/>
      <c r="E786" s="65"/>
      <c r="F786" s="65"/>
      <c r="G786" s="65"/>
      <c r="H786" s="65"/>
      <c r="I786" s="69"/>
      <c r="J786" s="70"/>
      <c r="K786" s="70"/>
      <c r="L786" s="69"/>
      <c r="M786" s="70"/>
      <c r="N786" s="70"/>
      <c r="O786" s="70"/>
      <c r="P786" s="70"/>
      <c r="Q786" s="70"/>
      <c r="R786" s="70"/>
      <c r="S786" s="70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65"/>
      <c r="AO786" s="56"/>
      <c r="AP786" s="56"/>
      <c r="AQ786" s="56"/>
      <c r="AR786" s="56"/>
    </row>
    <row r="787">
      <c r="A787" s="65"/>
      <c r="B787" s="65"/>
      <c r="C787" s="65"/>
      <c r="D787" s="65"/>
      <c r="E787" s="65"/>
      <c r="F787" s="65"/>
      <c r="G787" s="65"/>
      <c r="H787" s="65"/>
      <c r="I787" s="69"/>
      <c r="J787" s="70"/>
      <c r="K787" s="70"/>
      <c r="L787" s="69"/>
      <c r="M787" s="70"/>
      <c r="N787" s="70"/>
      <c r="O787" s="70"/>
      <c r="P787" s="70"/>
      <c r="Q787" s="70"/>
      <c r="R787" s="70"/>
      <c r="S787" s="70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65"/>
      <c r="AO787" s="56"/>
      <c r="AP787" s="56"/>
      <c r="AQ787" s="56"/>
      <c r="AR787" s="56"/>
    </row>
    <row r="788">
      <c r="A788" s="65"/>
      <c r="B788" s="65"/>
      <c r="C788" s="65"/>
      <c r="D788" s="65"/>
      <c r="E788" s="65"/>
      <c r="F788" s="65"/>
      <c r="G788" s="65"/>
      <c r="H788" s="65"/>
      <c r="I788" s="69"/>
      <c r="J788" s="70"/>
      <c r="K788" s="70"/>
      <c r="L788" s="69"/>
      <c r="M788" s="70"/>
      <c r="N788" s="70"/>
      <c r="O788" s="70"/>
      <c r="P788" s="70"/>
      <c r="Q788" s="70"/>
      <c r="R788" s="70"/>
      <c r="S788" s="70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65"/>
      <c r="AO788" s="56"/>
      <c r="AP788" s="56"/>
      <c r="AQ788" s="56"/>
      <c r="AR788" s="56"/>
    </row>
    <row r="789">
      <c r="A789" s="65"/>
      <c r="B789" s="65"/>
      <c r="C789" s="65"/>
      <c r="D789" s="65"/>
      <c r="E789" s="65"/>
      <c r="F789" s="65"/>
      <c r="G789" s="65"/>
      <c r="H789" s="65"/>
      <c r="I789" s="69"/>
      <c r="J789" s="70"/>
      <c r="K789" s="70"/>
      <c r="L789" s="69"/>
      <c r="M789" s="70"/>
      <c r="N789" s="70"/>
      <c r="O789" s="70"/>
      <c r="P789" s="70"/>
      <c r="Q789" s="70"/>
      <c r="R789" s="70"/>
      <c r="S789" s="70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65"/>
      <c r="AO789" s="56"/>
      <c r="AP789" s="56"/>
      <c r="AQ789" s="56"/>
      <c r="AR789" s="56"/>
    </row>
    <row r="790">
      <c r="A790" s="65"/>
      <c r="B790" s="65"/>
      <c r="C790" s="65"/>
      <c r="D790" s="65"/>
      <c r="E790" s="65"/>
      <c r="F790" s="65"/>
      <c r="G790" s="65"/>
      <c r="H790" s="65"/>
      <c r="I790" s="69"/>
      <c r="J790" s="70"/>
      <c r="K790" s="70"/>
      <c r="L790" s="69"/>
      <c r="M790" s="70"/>
      <c r="N790" s="70"/>
      <c r="O790" s="70"/>
      <c r="P790" s="70"/>
      <c r="Q790" s="70"/>
      <c r="R790" s="70"/>
      <c r="S790" s="70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65"/>
      <c r="AO790" s="56"/>
      <c r="AP790" s="56"/>
      <c r="AQ790" s="56"/>
      <c r="AR790" s="56"/>
    </row>
    <row r="791">
      <c r="A791" s="65"/>
      <c r="B791" s="65"/>
      <c r="C791" s="65"/>
      <c r="D791" s="65"/>
      <c r="E791" s="65"/>
      <c r="F791" s="65"/>
      <c r="G791" s="65"/>
      <c r="H791" s="65"/>
      <c r="I791" s="69"/>
      <c r="J791" s="70"/>
      <c r="K791" s="70"/>
      <c r="L791" s="69"/>
      <c r="M791" s="70"/>
      <c r="N791" s="70"/>
      <c r="O791" s="70"/>
      <c r="P791" s="70"/>
      <c r="Q791" s="70"/>
      <c r="R791" s="70"/>
      <c r="S791" s="70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65"/>
      <c r="AO791" s="56"/>
      <c r="AP791" s="56"/>
      <c r="AQ791" s="56"/>
      <c r="AR791" s="56"/>
    </row>
    <row r="792">
      <c r="A792" s="65"/>
      <c r="B792" s="65"/>
      <c r="C792" s="65"/>
      <c r="D792" s="65"/>
      <c r="E792" s="65"/>
      <c r="F792" s="65"/>
      <c r="G792" s="65"/>
      <c r="H792" s="65"/>
      <c r="I792" s="69"/>
      <c r="J792" s="70"/>
      <c r="K792" s="70"/>
      <c r="L792" s="69"/>
      <c r="M792" s="70"/>
      <c r="N792" s="70"/>
      <c r="O792" s="70"/>
      <c r="P792" s="70"/>
      <c r="Q792" s="70"/>
      <c r="R792" s="70"/>
      <c r="S792" s="70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65"/>
      <c r="AO792" s="56"/>
      <c r="AP792" s="56"/>
      <c r="AQ792" s="56"/>
      <c r="AR792" s="56"/>
    </row>
    <row r="793">
      <c r="A793" s="65"/>
      <c r="B793" s="65"/>
      <c r="C793" s="65"/>
      <c r="D793" s="65"/>
      <c r="E793" s="65"/>
      <c r="F793" s="65"/>
      <c r="G793" s="65"/>
      <c r="H793" s="65"/>
      <c r="I793" s="69"/>
      <c r="J793" s="70"/>
      <c r="K793" s="70"/>
      <c r="L793" s="69"/>
      <c r="M793" s="70"/>
      <c r="N793" s="70"/>
      <c r="O793" s="70"/>
      <c r="P793" s="70"/>
      <c r="Q793" s="70"/>
      <c r="R793" s="70"/>
      <c r="S793" s="70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65"/>
      <c r="AO793" s="56"/>
      <c r="AP793" s="56"/>
      <c r="AQ793" s="56"/>
      <c r="AR793" s="56"/>
    </row>
    <row r="794">
      <c r="A794" s="65"/>
      <c r="B794" s="65"/>
      <c r="C794" s="65"/>
      <c r="D794" s="65"/>
      <c r="E794" s="65"/>
      <c r="F794" s="65"/>
      <c r="G794" s="65"/>
      <c r="H794" s="65"/>
      <c r="I794" s="69"/>
      <c r="J794" s="70"/>
      <c r="K794" s="70"/>
      <c r="L794" s="69"/>
      <c r="M794" s="70"/>
      <c r="N794" s="70"/>
      <c r="O794" s="70"/>
      <c r="P794" s="70"/>
      <c r="Q794" s="70"/>
      <c r="R794" s="70"/>
      <c r="S794" s="70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65"/>
      <c r="AO794" s="56"/>
      <c r="AP794" s="56"/>
      <c r="AQ794" s="56"/>
      <c r="AR794" s="56"/>
    </row>
    <row r="795">
      <c r="A795" s="65"/>
      <c r="B795" s="65"/>
      <c r="C795" s="65"/>
      <c r="D795" s="65"/>
      <c r="E795" s="65"/>
      <c r="F795" s="65"/>
      <c r="G795" s="65"/>
      <c r="H795" s="65"/>
      <c r="I795" s="69"/>
      <c r="J795" s="70"/>
      <c r="K795" s="70"/>
      <c r="L795" s="69"/>
      <c r="M795" s="70"/>
      <c r="N795" s="70"/>
      <c r="O795" s="70"/>
      <c r="P795" s="70"/>
      <c r="Q795" s="70"/>
      <c r="R795" s="70"/>
      <c r="S795" s="70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65"/>
      <c r="AO795" s="56"/>
      <c r="AP795" s="56"/>
      <c r="AQ795" s="56"/>
      <c r="AR795" s="56"/>
    </row>
    <row r="796">
      <c r="A796" s="65"/>
      <c r="B796" s="65"/>
      <c r="C796" s="65"/>
      <c r="D796" s="65"/>
      <c r="E796" s="65"/>
      <c r="F796" s="65"/>
      <c r="G796" s="65"/>
      <c r="H796" s="65"/>
      <c r="I796" s="69"/>
      <c r="J796" s="70"/>
      <c r="K796" s="70"/>
      <c r="L796" s="69"/>
      <c r="M796" s="70"/>
      <c r="N796" s="70"/>
      <c r="O796" s="70"/>
      <c r="P796" s="70"/>
      <c r="Q796" s="70"/>
      <c r="R796" s="70"/>
      <c r="S796" s="70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65"/>
      <c r="AO796" s="56"/>
      <c r="AP796" s="56"/>
      <c r="AQ796" s="56"/>
      <c r="AR796" s="56"/>
    </row>
    <row r="797">
      <c r="A797" s="65"/>
      <c r="B797" s="65"/>
      <c r="C797" s="65"/>
      <c r="D797" s="65"/>
      <c r="E797" s="65"/>
      <c r="F797" s="65"/>
      <c r="G797" s="65"/>
      <c r="H797" s="65"/>
      <c r="I797" s="69"/>
      <c r="J797" s="70"/>
      <c r="K797" s="70"/>
      <c r="L797" s="69"/>
      <c r="M797" s="70"/>
      <c r="N797" s="70"/>
      <c r="O797" s="70"/>
      <c r="P797" s="70"/>
      <c r="Q797" s="70"/>
      <c r="R797" s="70"/>
      <c r="S797" s="70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65"/>
      <c r="AO797" s="56"/>
      <c r="AP797" s="56"/>
      <c r="AQ797" s="56"/>
      <c r="AR797" s="56"/>
    </row>
    <row r="798">
      <c r="A798" s="65"/>
      <c r="B798" s="65"/>
      <c r="C798" s="65"/>
      <c r="D798" s="65"/>
      <c r="E798" s="65"/>
      <c r="F798" s="65"/>
      <c r="G798" s="65"/>
      <c r="H798" s="65"/>
      <c r="I798" s="69"/>
      <c r="J798" s="70"/>
      <c r="K798" s="70"/>
      <c r="L798" s="69"/>
      <c r="M798" s="70"/>
      <c r="N798" s="70"/>
      <c r="O798" s="70"/>
      <c r="P798" s="70"/>
      <c r="Q798" s="70"/>
      <c r="R798" s="70"/>
      <c r="S798" s="70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65"/>
      <c r="AO798" s="56"/>
      <c r="AP798" s="56"/>
      <c r="AQ798" s="56"/>
      <c r="AR798" s="56"/>
    </row>
    <row r="799">
      <c r="A799" s="65"/>
      <c r="B799" s="65"/>
      <c r="C799" s="65"/>
      <c r="D799" s="65"/>
      <c r="E799" s="65"/>
      <c r="F799" s="65"/>
      <c r="G799" s="65"/>
      <c r="H799" s="65"/>
      <c r="I799" s="69"/>
      <c r="J799" s="70"/>
      <c r="K799" s="70"/>
      <c r="L799" s="69"/>
      <c r="M799" s="70"/>
      <c r="N799" s="70"/>
      <c r="O799" s="70"/>
      <c r="P799" s="70"/>
      <c r="Q799" s="70"/>
      <c r="R799" s="70"/>
      <c r="S799" s="70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65"/>
      <c r="AO799" s="56"/>
      <c r="AP799" s="56"/>
      <c r="AQ799" s="56"/>
      <c r="AR799" s="56"/>
    </row>
    <row r="800">
      <c r="A800" s="65"/>
      <c r="B800" s="65"/>
      <c r="C800" s="65"/>
      <c r="D800" s="65"/>
      <c r="E800" s="65"/>
      <c r="F800" s="65"/>
      <c r="G800" s="65"/>
      <c r="H800" s="65"/>
      <c r="I800" s="69"/>
      <c r="J800" s="70"/>
      <c r="K800" s="70"/>
      <c r="L800" s="69"/>
      <c r="M800" s="70"/>
      <c r="N800" s="70"/>
      <c r="O800" s="70"/>
      <c r="P800" s="70"/>
      <c r="Q800" s="70"/>
      <c r="R800" s="70"/>
      <c r="S800" s="70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65"/>
      <c r="AO800" s="56"/>
      <c r="AP800" s="56"/>
      <c r="AQ800" s="56"/>
      <c r="AR800" s="56"/>
    </row>
    <row r="801">
      <c r="A801" s="65"/>
      <c r="B801" s="65"/>
      <c r="C801" s="65"/>
      <c r="D801" s="65"/>
      <c r="E801" s="65"/>
      <c r="F801" s="65"/>
      <c r="G801" s="65"/>
      <c r="H801" s="65"/>
      <c r="I801" s="69"/>
      <c r="J801" s="70"/>
      <c r="K801" s="70"/>
      <c r="L801" s="69"/>
      <c r="M801" s="70"/>
      <c r="N801" s="70"/>
      <c r="O801" s="70"/>
      <c r="P801" s="70"/>
      <c r="Q801" s="70"/>
      <c r="R801" s="70"/>
      <c r="S801" s="70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65"/>
      <c r="AO801" s="56"/>
      <c r="AP801" s="56"/>
      <c r="AQ801" s="56"/>
      <c r="AR801" s="56"/>
    </row>
    <row r="802">
      <c r="A802" s="65"/>
      <c r="B802" s="65"/>
      <c r="C802" s="65"/>
      <c r="D802" s="65"/>
      <c r="E802" s="65"/>
      <c r="F802" s="65"/>
      <c r="G802" s="65"/>
      <c r="H802" s="65"/>
      <c r="I802" s="69"/>
      <c r="J802" s="70"/>
      <c r="K802" s="70"/>
      <c r="L802" s="69"/>
      <c r="M802" s="70"/>
      <c r="N802" s="70"/>
      <c r="O802" s="70"/>
      <c r="P802" s="70"/>
      <c r="Q802" s="70"/>
      <c r="R802" s="70"/>
      <c r="S802" s="70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65"/>
      <c r="AO802" s="56"/>
      <c r="AP802" s="56"/>
      <c r="AQ802" s="56"/>
      <c r="AR802" s="56"/>
    </row>
    <row r="803">
      <c r="A803" s="65"/>
      <c r="B803" s="65"/>
      <c r="C803" s="65"/>
      <c r="D803" s="65"/>
      <c r="E803" s="65"/>
      <c r="F803" s="65"/>
      <c r="G803" s="65"/>
      <c r="H803" s="65"/>
      <c r="I803" s="69"/>
      <c r="J803" s="70"/>
      <c r="K803" s="70"/>
      <c r="L803" s="69"/>
      <c r="M803" s="70"/>
      <c r="N803" s="70"/>
      <c r="O803" s="70"/>
      <c r="P803" s="70"/>
      <c r="Q803" s="70"/>
      <c r="R803" s="70"/>
      <c r="S803" s="70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65"/>
      <c r="AO803" s="56"/>
      <c r="AP803" s="56"/>
      <c r="AQ803" s="56"/>
      <c r="AR803" s="56"/>
    </row>
    <row r="804">
      <c r="A804" s="65"/>
      <c r="B804" s="65"/>
      <c r="C804" s="65"/>
      <c r="D804" s="65"/>
      <c r="E804" s="65"/>
      <c r="F804" s="65"/>
      <c r="G804" s="65"/>
      <c r="H804" s="65"/>
      <c r="I804" s="69"/>
      <c r="J804" s="70"/>
      <c r="K804" s="70"/>
      <c r="L804" s="69"/>
      <c r="M804" s="70"/>
      <c r="N804" s="70"/>
      <c r="O804" s="70"/>
      <c r="P804" s="70"/>
      <c r="Q804" s="70"/>
      <c r="R804" s="70"/>
      <c r="S804" s="70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65"/>
      <c r="AO804" s="56"/>
      <c r="AP804" s="56"/>
      <c r="AQ804" s="56"/>
      <c r="AR804" s="56"/>
    </row>
    <row r="805">
      <c r="A805" s="65"/>
      <c r="B805" s="65"/>
      <c r="C805" s="65"/>
      <c r="D805" s="65"/>
      <c r="E805" s="65"/>
      <c r="F805" s="65"/>
      <c r="G805" s="65"/>
      <c r="H805" s="65"/>
      <c r="I805" s="69"/>
      <c r="J805" s="70"/>
      <c r="K805" s="70"/>
      <c r="L805" s="69"/>
      <c r="M805" s="70"/>
      <c r="N805" s="70"/>
      <c r="O805" s="70"/>
      <c r="P805" s="70"/>
      <c r="Q805" s="70"/>
      <c r="R805" s="70"/>
      <c r="S805" s="70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65"/>
      <c r="AO805" s="56"/>
      <c r="AP805" s="56"/>
      <c r="AQ805" s="56"/>
      <c r="AR805" s="56"/>
    </row>
    <row r="806">
      <c r="A806" s="65"/>
      <c r="B806" s="65"/>
      <c r="C806" s="65"/>
      <c r="D806" s="65"/>
      <c r="E806" s="65"/>
      <c r="F806" s="65"/>
      <c r="G806" s="65"/>
      <c r="H806" s="65"/>
      <c r="I806" s="69"/>
      <c r="J806" s="70"/>
      <c r="K806" s="70"/>
      <c r="L806" s="69"/>
      <c r="M806" s="70"/>
      <c r="N806" s="70"/>
      <c r="O806" s="70"/>
      <c r="P806" s="70"/>
      <c r="Q806" s="70"/>
      <c r="R806" s="70"/>
      <c r="S806" s="70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65"/>
      <c r="AO806" s="56"/>
      <c r="AP806" s="56"/>
      <c r="AQ806" s="56"/>
      <c r="AR806" s="56"/>
    </row>
    <row r="807">
      <c r="A807" s="65"/>
      <c r="B807" s="65"/>
      <c r="C807" s="65"/>
      <c r="D807" s="65"/>
      <c r="E807" s="65"/>
      <c r="F807" s="65"/>
      <c r="G807" s="65"/>
      <c r="H807" s="65"/>
      <c r="I807" s="69"/>
      <c r="J807" s="70"/>
      <c r="K807" s="70"/>
      <c r="L807" s="69"/>
      <c r="M807" s="70"/>
      <c r="N807" s="70"/>
      <c r="O807" s="70"/>
      <c r="P807" s="70"/>
      <c r="Q807" s="70"/>
      <c r="R807" s="70"/>
      <c r="S807" s="70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65"/>
      <c r="AO807" s="56"/>
      <c r="AP807" s="56"/>
      <c r="AQ807" s="56"/>
      <c r="AR807" s="56"/>
    </row>
    <row r="808">
      <c r="A808" s="65"/>
      <c r="B808" s="65"/>
      <c r="C808" s="65"/>
      <c r="D808" s="65"/>
      <c r="E808" s="65"/>
      <c r="F808" s="65"/>
      <c r="G808" s="65"/>
      <c r="H808" s="65"/>
      <c r="I808" s="69"/>
      <c r="J808" s="70"/>
      <c r="K808" s="70"/>
      <c r="L808" s="69"/>
      <c r="M808" s="70"/>
      <c r="N808" s="70"/>
      <c r="O808" s="70"/>
      <c r="P808" s="70"/>
      <c r="Q808" s="70"/>
      <c r="R808" s="70"/>
      <c r="S808" s="70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65"/>
      <c r="AO808" s="56"/>
      <c r="AP808" s="56"/>
      <c r="AQ808" s="56"/>
      <c r="AR808" s="56"/>
    </row>
    <row r="809">
      <c r="A809" s="65"/>
      <c r="B809" s="65"/>
      <c r="C809" s="65"/>
      <c r="D809" s="65"/>
      <c r="E809" s="65"/>
      <c r="F809" s="65"/>
      <c r="G809" s="65"/>
      <c r="H809" s="65"/>
      <c r="I809" s="69"/>
      <c r="J809" s="70"/>
      <c r="K809" s="70"/>
      <c r="L809" s="69"/>
      <c r="M809" s="70"/>
      <c r="N809" s="70"/>
      <c r="O809" s="70"/>
      <c r="P809" s="70"/>
      <c r="Q809" s="70"/>
      <c r="R809" s="70"/>
      <c r="S809" s="70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65"/>
      <c r="AO809" s="56"/>
      <c r="AP809" s="56"/>
      <c r="AQ809" s="56"/>
      <c r="AR809" s="56"/>
    </row>
    <row r="810">
      <c r="A810" s="65"/>
      <c r="B810" s="65"/>
      <c r="C810" s="65"/>
      <c r="D810" s="65"/>
      <c r="E810" s="65"/>
      <c r="F810" s="65"/>
      <c r="G810" s="65"/>
      <c r="H810" s="65"/>
      <c r="I810" s="69"/>
      <c r="J810" s="70"/>
      <c r="K810" s="70"/>
      <c r="L810" s="69"/>
      <c r="M810" s="70"/>
      <c r="N810" s="70"/>
      <c r="O810" s="70"/>
      <c r="P810" s="70"/>
      <c r="Q810" s="70"/>
      <c r="R810" s="70"/>
      <c r="S810" s="70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65"/>
      <c r="AO810" s="56"/>
      <c r="AP810" s="56"/>
      <c r="AQ810" s="56"/>
      <c r="AR810" s="56"/>
    </row>
    <row r="811">
      <c r="A811" s="65"/>
      <c r="B811" s="65"/>
      <c r="C811" s="65"/>
      <c r="D811" s="65"/>
      <c r="E811" s="65"/>
      <c r="F811" s="65"/>
      <c r="G811" s="65"/>
      <c r="H811" s="65"/>
      <c r="I811" s="69"/>
      <c r="J811" s="70"/>
      <c r="K811" s="70"/>
      <c r="L811" s="69"/>
      <c r="M811" s="70"/>
      <c r="N811" s="70"/>
      <c r="O811" s="70"/>
      <c r="P811" s="70"/>
      <c r="Q811" s="70"/>
      <c r="R811" s="70"/>
      <c r="S811" s="70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65"/>
      <c r="AO811" s="56"/>
      <c r="AP811" s="56"/>
      <c r="AQ811" s="56"/>
      <c r="AR811" s="56"/>
    </row>
    <row r="812">
      <c r="A812" s="65"/>
      <c r="B812" s="65"/>
      <c r="C812" s="65"/>
      <c r="D812" s="65"/>
      <c r="E812" s="65"/>
      <c r="F812" s="65"/>
      <c r="G812" s="65"/>
      <c r="H812" s="65"/>
      <c r="I812" s="69"/>
      <c r="J812" s="70"/>
      <c r="K812" s="70"/>
      <c r="L812" s="69"/>
      <c r="M812" s="70"/>
      <c r="N812" s="70"/>
      <c r="O812" s="70"/>
      <c r="P812" s="70"/>
      <c r="Q812" s="70"/>
      <c r="R812" s="70"/>
      <c r="S812" s="70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65"/>
      <c r="AO812" s="56"/>
      <c r="AP812" s="56"/>
      <c r="AQ812" s="56"/>
      <c r="AR812" s="56"/>
    </row>
    <row r="813">
      <c r="A813" s="65"/>
      <c r="B813" s="65"/>
      <c r="C813" s="65"/>
      <c r="D813" s="65"/>
      <c r="E813" s="65"/>
      <c r="F813" s="65"/>
      <c r="G813" s="65"/>
      <c r="H813" s="65"/>
      <c r="I813" s="69"/>
      <c r="J813" s="70"/>
      <c r="K813" s="70"/>
      <c r="L813" s="69"/>
      <c r="M813" s="70"/>
      <c r="N813" s="70"/>
      <c r="O813" s="70"/>
      <c r="P813" s="70"/>
      <c r="Q813" s="70"/>
      <c r="R813" s="70"/>
      <c r="S813" s="70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65"/>
      <c r="AO813" s="56"/>
      <c r="AP813" s="56"/>
      <c r="AQ813" s="56"/>
      <c r="AR813" s="56"/>
    </row>
    <row r="814">
      <c r="A814" s="65"/>
      <c r="B814" s="65"/>
      <c r="C814" s="65"/>
      <c r="D814" s="65"/>
      <c r="E814" s="65"/>
      <c r="F814" s="65"/>
      <c r="G814" s="65"/>
      <c r="H814" s="65"/>
      <c r="I814" s="69"/>
      <c r="J814" s="70"/>
      <c r="K814" s="70"/>
      <c r="L814" s="69"/>
      <c r="M814" s="70"/>
      <c r="N814" s="70"/>
      <c r="O814" s="70"/>
      <c r="P814" s="70"/>
      <c r="Q814" s="70"/>
      <c r="R814" s="70"/>
      <c r="S814" s="70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65"/>
      <c r="AO814" s="56"/>
      <c r="AP814" s="56"/>
      <c r="AQ814" s="56"/>
      <c r="AR814" s="56"/>
    </row>
    <row r="815">
      <c r="A815" s="65"/>
      <c r="B815" s="65"/>
      <c r="C815" s="65"/>
      <c r="D815" s="65"/>
      <c r="E815" s="65"/>
      <c r="F815" s="65"/>
      <c r="G815" s="65"/>
      <c r="H815" s="65"/>
      <c r="I815" s="69"/>
      <c r="J815" s="70"/>
      <c r="K815" s="70"/>
      <c r="L815" s="69"/>
      <c r="M815" s="70"/>
      <c r="N815" s="70"/>
      <c r="O815" s="70"/>
      <c r="P815" s="70"/>
      <c r="Q815" s="70"/>
      <c r="R815" s="70"/>
      <c r="S815" s="70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65"/>
      <c r="AO815" s="56"/>
      <c r="AP815" s="56"/>
      <c r="AQ815" s="56"/>
      <c r="AR815" s="56"/>
    </row>
    <row r="816">
      <c r="A816" s="65"/>
      <c r="B816" s="65"/>
      <c r="C816" s="65"/>
      <c r="D816" s="65"/>
      <c r="E816" s="65"/>
      <c r="F816" s="65"/>
      <c r="G816" s="65"/>
      <c r="H816" s="65"/>
      <c r="I816" s="69"/>
      <c r="J816" s="70"/>
      <c r="K816" s="70"/>
      <c r="L816" s="69"/>
      <c r="M816" s="70"/>
      <c r="N816" s="70"/>
      <c r="O816" s="70"/>
      <c r="P816" s="70"/>
      <c r="Q816" s="70"/>
      <c r="R816" s="70"/>
      <c r="S816" s="70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65"/>
      <c r="AO816" s="56"/>
      <c r="AP816" s="56"/>
      <c r="AQ816" s="56"/>
      <c r="AR816" s="56"/>
    </row>
    <row r="817">
      <c r="A817" s="65"/>
      <c r="B817" s="65"/>
      <c r="C817" s="65"/>
      <c r="D817" s="65"/>
      <c r="E817" s="65"/>
      <c r="F817" s="65"/>
      <c r="G817" s="65"/>
      <c r="H817" s="65"/>
      <c r="I817" s="69"/>
      <c r="J817" s="70"/>
      <c r="K817" s="70"/>
      <c r="L817" s="69"/>
      <c r="M817" s="70"/>
      <c r="N817" s="70"/>
      <c r="O817" s="70"/>
      <c r="P817" s="70"/>
      <c r="Q817" s="70"/>
      <c r="R817" s="70"/>
      <c r="S817" s="70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65"/>
      <c r="AO817" s="56"/>
      <c r="AP817" s="56"/>
      <c r="AQ817" s="56"/>
      <c r="AR817" s="56"/>
    </row>
    <row r="818">
      <c r="A818" s="65"/>
      <c r="B818" s="65"/>
      <c r="C818" s="65"/>
      <c r="D818" s="65"/>
      <c r="E818" s="65"/>
      <c r="F818" s="65"/>
      <c r="G818" s="65"/>
      <c r="H818" s="65"/>
      <c r="I818" s="69"/>
      <c r="J818" s="70"/>
      <c r="K818" s="70"/>
      <c r="L818" s="69"/>
      <c r="M818" s="70"/>
      <c r="N818" s="70"/>
      <c r="O818" s="70"/>
      <c r="P818" s="70"/>
      <c r="Q818" s="70"/>
      <c r="R818" s="70"/>
      <c r="S818" s="70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65"/>
      <c r="AO818" s="56"/>
      <c r="AP818" s="56"/>
      <c r="AQ818" s="56"/>
      <c r="AR818" s="56"/>
    </row>
    <row r="819">
      <c r="A819" s="65"/>
      <c r="B819" s="65"/>
      <c r="C819" s="65"/>
      <c r="D819" s="65"/>
      <c r="E819" s="65"/>
      <c r="F819" s="65"/>
      <c r="G819" s="65"/>
      <c r="H819" s="65"/>
      <c r="I819" s="69"/>
      <c r="J819" s="70"/>
      <c r="K819" s="70"/>
      <c r="L819" s="69"/>
      <c r="M819" s="70"/>
      <c r="N819" s="70"/>
      <c r="O819" s="70"/>
      <c r="P819" s="70"/>
      <c r="Q819" s="70"/>
      <c r="R819" s="70"/>
      <c r="S819" s="70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65"/>
      <c r="AO819" s="56"/>
      <c r="AP819" s="56"/>
      <c r="AQ819" s="56"/>
      <c r="AR819" s="56"/>
    </row>
    <row r="820">
      <c r="A820" s="65"/>
      <c r="B820" s="65"/>
      <c r="C820" s="65"/>
      <c r="D820" s="65"/>
      <c r="E820" s="65"/>
      <c r="F820" s="65"/>
      <c r="G820" s="65"/>
      <c r="H820" s="65"/>
      <c r="I820" s="69"/>
      <c r="J820" s="70"/>
      <c r="K820" s="70"/>
      <c r="L820" s="69"/>
      <c r="M820" s="70"/>
      <c r="N820" s="70"/>
      <c r="O820" s="70"/>
      <c r="P820" s="70"/>
      <c r="Q820" s="70"/>
      <c r="R820" s="70"/>
      <c r="S820" s="70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65"/>
      <c r="AO820" s="56"/>
      <c r="AP820" s="56"/>
      <c r="AQ820" s="56"/>
      <c r="AR820" s="56"/>
    </row>
    <row r="821">
      <c r="A821" s="65"/>
      <c r="B821" s="65"/>
      <c r="C821" s="65"/>
      <c r="D821" s="65"/>
      <c r="E821" s="65"/>
      <c r="F821" s="65"/>
      <c r="G821" s="65"/>
      <c r="H821" s="65"/>
      <c r="I821" s="69"/>
      <c r="J821" s="70"/>
      <c r="K821" s="70"/>
      <c r="L821" s="69"/>
      <c r="M821" s="70"/>
      <c r="N821" s="70"/>
      <c r="O821" s="70"/>
      <c r="P821" s="70"/>
      <c r="Q821" s="70"/>
      <c r="R821" s="70"/>
      <c r="S821" s="70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65"/>
      <c r="AO821" s="56"/>
      <c r="AP821" s="56"/>
      <c r="AQ821" s="56"/>
      <c r="AR821" s="56"/>
    </row>
    <row r="822">
      <c r="A822" s="65"/>
      <c r="B822" s="65"/>
      <c r="C822" s="65"/>
      <c r="D822" s="65"/>
      <c r="E822" s="65"/>
      <c r="F822" s="65"/>
      <c r="G822" s="65"/>
      <c r="H822" s="65"/>
      <c r="I822" s="69"/>
      <c r="J822" s="70"/>
      <c r="K822" s="70"/>
      <c r="L822" s="69"/>
      <c r="M822" s="70"/>
      <c r="N822" s="70"/>
      <c r="O822" s="70"/>
      <c r="P822" s="70"/>
      <c r="Q822" s="70"/>
      <c r="R822" s="70"/>
      <c r="S822" s="70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65"/>
      <c r="AO822" s="56"/>
      <c r="AP822" s="56"/>
      <c r="AQ822" s="56"/>
      <c r="AR822" s="56"/>
    </row>
    <row r="823">
      <c r="A823" s="65"/>
      <c r="B823" s="65"/>
      <c r="C823" s="65"/>
      <c r="D823" s="65"/>
      <c r="E823" s="65"/>
      <c r="F823" s="65"/>
      <c r="G823" s="65"/>
      <c r="H823" s="65"/>
      <c r="I823" s="69"/>
      <c r="J823" s="70"/>
      <c r="K823" s="70"/>
      <c r="L823" s="69"/>
      <c r="M823" s="70"/>
      <c r="N823" s="70"/>
      <c r="O823" s="70"/>
      <c r="P823" s="70"/>
      <c r="Q823" s="70"/>
      <c r="R823" s="70"/>
      <c r="S823" s="70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65"/>
      <c r="AO823" s="56"/>
      <c r="AP823" s="56"/>
      <c r="AQ823" s="56"/>
      <c r="AR823" s="56"/>
    </row>
    <row r="824">
      <c r="A824" s="65"/>
      <c r="B824" s="65"/>
      <c r="C824" s="65"/>
      <c r="D824" s="65"/>
      <c r="E824" s="65"/>
      <c r="F824" s="65"/>
      <c r="G824" s="65"/>
      <c r="H824" s="65"/>
      <c r="I824" s="69"/>
      <c r="J824" s="70"/>
      <c r="K824" s="70"/>
      <c r="L824" s="69"/>
      <c r="M824" s="70"/>
      <c r="N824" s="70"/>
      <c r="O824" s="70"/>
      <c r="P824" s="70"/>
      <c r="Q824" s="70"/>
      <c r="R824" s="70"/>
      <c r="S824" s="70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65"/>
      <c r="AO824" s="56"/>
      <c r="AP824" s="56"/>
      <c r="AQ824" s="56"/>
      <c r="AR824" s="56"/>
    </row>
    <row r="825">
      <c r="A825" s="65"/>
      <c r="B825" s="65"/>
      <c r="C825" s="65"/>
      <c r="D825" s="65"/>
      <c r="E825" s="65"/>
      <c r="F825" s="65"/>
      <c r="G825" s="65"/>
      <c r="H825" s="65"/>
      <c r="I825" s="69"/>
      <c r="J825" s="70"/>
      <c r="K825" s="70"/>
      <c r="L825" s="69"/>
      <c r="M825" s="70"/>
      <c r="N825" s="70"/>
      <c r="O825" s="70"/>
      <c r="P825" s="70"/>
      <c r="Q825" s="70"/>
      <c r="R825" s="70"/>
      <c r="S825" s="70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65"/>
      <c r="AO825" s="56"/>
      <c r="AP825" s="56"/>
      <c r="AQ825" s="56"/>
      <c r="AR825" s="56"/>
    </row>
    <row r="826">
      <c r="A826" s="65"/>
      <c r="B826" s="65"/>
      <c r="C826" s="65"/>
      <c r="D826" s="65"/>
      <c r="E826" s="65"/>
      <c r="F826" s="65"/>
      <c r="G826" s="65"/>
      <c r="H826" s="65"/>
      <c r="I826" s="69"/>
      <c r="J826" s="70"/>
      <c r="K826" s="70"/>
      <c r="L826" s="69"/>
      <c r="M826" s="70"/>
      <c r="N826" s="70"/>
      <c r="O826" s="70"/>
      <c r="P826" s="70"/>
      <c r="Q826" s="70"/>
      <c r="R826" s="70"/>
      <c r="S826" s="70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65"/>
      <c r="AO826" s="56"/>
      <c r="AP826" s="56"/>
      <c r="AQ826" s="56"/>
      <c r="AR826" s="56"/>
    </row>
    <row r="827">
      <c r="A827" s="65"/>
      <c r="B827" s="65"/>
      <c r="C827" s="65"/>
      <c r="D827" s="65"/>
      <c r="E827" s="65"/>
      <c r="F827" s="65"/>
      <c r="G827" s="65"/>
      <c r="H827" s="65"/>
      <c r="I827" s="69"/>
      <c r="J827" s="70"/>
      <c r="K827" s="70"/>
      <c r="L827" s="69"/>
      <c r="M827" s="70"/>
      <c r="N827" s="70"/>
      <c r="O827" s="70"/>
      <c r="P827" s="70"/>
      <c r="Q827" s="70"/>
      <c r="R827" s="70"/>
      <c r="S827" s="70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65"/>
      <c r="AO827" s="56"/>
      <c r="AP827" s="56"/>
      <c r="AQ827" s="56"/>
      <c r="AR827" s="56"/>
    </row>
    <row r="828">
      <c r="A828" s="65"/>
      <c r="B828" s="65"/>
      <c r="C828" s="65"/>
      <c r="D828" s="65"/>
      <c r="E828" s="65"/>
      <c r="F828" s="65"/>
      <c r="G828" s="65"/>
      <c r="H828" s="65"/>
      <c r="I828" s="69"/>
      <c r="J828" s="70"/>
      <c r="K828" s="70"/>
      <c r="L828" s="69"/>
      <c r="M828" s="70"/>
      <c r="N828" s="70"/>
      <c r="O828" s="70"/>
      <c r="P828" s="70"/>
      <c r="Q828" s="70"/>
      <c r="R828" s="70"/>
      <c r="S828" s="70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65"/>
      <c r="AO828" s="56"/>
      <c r="AP828" s="56"/>
      <c r="AQ828" s="56"/>
      <c r="AR828" s="56"/>
    </row>
    <row r="829">
      <c r="A829" s="65"/>
      <c r="B829" s="65"/>
      <c r="C829" s="65"/>
      <c r="D829" s="65"/>
      <c r="E829" s="65"/>
      <c r="F829" s="65"/>
      <c r="G829" s="65"/>
      <c r="H829" s="65"/>
      <c r="I829" s="69"/>
      <c r="J829" s="70"/>
      <c r="K829" s="70"/>
      <c r="L829" s="69"/>
      <c r="M829" s="70"/>
      <c r="N829" s="70"/>
      <c r="O829" s="70"/>
      <c r="P829" s="70"/>
      <c r="Q829" s="70"/>
      <c r="R829" s="70"/>
      <c r="S829" s="70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65"/>
      <c r="AO829" s="56"/>
      <c r="AP829" s="56"/>
      <c r="AQ829" s="56"/>
      <c r="AR829" s="56"/>
    </row>
    <row r="830">
      <c r="A830" s="65"/>
      <c r="B830" s="65"/>
      <c r="C830" s="65"/>
      <c r="D830" s="65"/>
      <c r="E830" s="65"/>
      <c r="F830" s="65"/>
      <c r="G830" s="65"/>
      <c r="H830" s="65"/>
      <c r="I830" s="69"/>
      <c r="J830" s="70"/>
      <c r="K830" s="70"/>
      <c r="L830" s="69"/>
      <c r="M830" s="70"/>
      <c r="N830" s="70"/>
      <c r="O830" s="70"/>
      <c r="P830" s="70"/>
      <c r="Q830" s="70"/>
      <c r="R830" s="70"/>
      <c r="S830" s="70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65"/>
      <c r="AO830" s="56"/>
      <c r="AP830" s="56"/>
      <c r="AQ830" s="56"/>
      <c r="AR830" s="56"/>
    </row>
    <row r="831">
      <c r="A831" s="65"/>
      <c r="B831" s="65"/>
      <c r="C831" s="65"/>
      <c r="D831" s="65"/>
      <c r="E831" s="65"/>
      <c r="F831" s="65"/>
      <c r="G831" s="65"/>
      <c r="H831" s="65"/>
      <c r="I831" s="69"/>
      <c r="J831" s="70"/>
      <c r="K831" s="70"/>
      <c r="L831" s="69"/>
      <c r="M831" s="70"/>
      <c r="N831" s="70"/>
      <c r="O831" s="70"/>
      <c r="P831" s="70"/>
      <c r="Q831" s="70"/>
      <c r="R831" s="70"/>
      <c r="S831" s="70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65"/>
      <c r="AO831" s="56"/>
      <c r="AP831" s="56"/>
      <c r="AQ831" s="56"/>
      <c r="AR831" s="56"/>
    </row>
    <row r="832">
      <c r="A832" s="65"/>
      <c r="B832" s="65"/>
      <c r="C832" s="65"/>
      <c r="D832" s="65"/>
      <c r="E832" s="65"/>
      <c r="F832" s="65"/>
      <c r="G832" s="65"/>
      <c r="H832" s="65"/>
      <c r="I832" s="69"/>
      <c r="J832" s="70"/>
      <c r="K832" s="70"/>
      <c r="L832" s="69"/>
      <c r="M832" s="70"/>
      <c r="N832" s="70"/>
      <c r="O832" s="70"/>
      <c r="P832" s="70"/>
      <c r="Q832" s="70"/>
      <c r="R832" s="70"/>
      <c r="S832" s="70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65"/>
      <c r="AO832" s="56"/>
      <c r="AP832" s="56"/>
      <c r="AQ832" s="56"/>
      <c r="AR832" s="56"/>
    </row>
    <row r="833">
      <c r="A833" s="65"/>
      <c r="B833" s="65"/>
      <c r="C833" s="65"/>
      <c r="D833" s="65"/>
      <c r="E833" s="65"/>
      <c r="F833" s="65"/>
      <c r="G833" s="65"/>
      <c r="H833" s="65"/>
      <c r="I833" s="69"/>
      <c r="J833" s="70"/>
      <c r="K833" s="70"/>
      <c r="L833" s="69"/>
      <c r="M833" s="70"/>
      <c r="N833" s="70"/>
      <c r="O833" s="70"/>
      <c r="P833" s="70"/>
      <c r="Q833" s="70"/>
      <c r="R833" s="70"/>
      <c r="S833" s="70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65"/>
      <c r="AO833" s="56"/>
      <c r="AP833" s="56"/>
      <c r="AQ833" s="56"/>
      <c r="AR833" s="56"/>
    </row>
    <row r="834">
      <c r="A834" s="65"/>
      <c r="B834" s="65"/>
      <c r="C834" s="65"/>
      <c r="D834" s="65"/>
      <c r="E834" s="65"/>
      <c r="F834" s="65"/>
      <c r="G834" s="65"/>
      <c r="H834" s="65"/>
      <c r="I834" s="69"/>
      <c r="J834" s="70"/>
      <c r="K834" s="70"/>
      <c r="L834" s="69"/>
      <c r="M834" s="70"/>
      <c r="N834" s="70"/>
      <c r="O834" s="70"/>
      <c r="P834" s="70"/>
      <c r="Q834" s="70"/>
      <c r="R834" s="70"/>
      <c r="S834" s="70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65"/>
      <c r="AO834" s="56"/>
      <c r="AP834" s="56"/>
      <c r="AQ834" s="56"/>
      <c r="AR834" s="56"/>
    </row>
    <row r="835">
      <c r="A835" s="65"/>
      <c r="B835" s="65"/>
      <c r="C835" s="65"/>
      <c r="D835" s="65"/>
      <c r="E835" s="65"/>
      <c r="F835" s="65"/>
      <c r="G835" s="65"/>
      <c r="H835" s="65"/>
      <c r="I835" s="69"/>
      <c r="J835" s="70"/>
      <c r="K835" s="70"/>
      <c r="L835" s="69"/>
      <c r="M835" s="70"/>
      <c r="N835" s="70"/>
      <c r="O835" s="70"/>
      <c r="P835" s="70"/>
      <c r="Q835" s="70"/>
      <c r="R835" s="70"/>
      <c r="S835" s="70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65"/>
      <c r="AO835" s="56"/>
      <c r="AP835" s="56"/>
      <c r="AQ835" s="56"/>
      <c r="AR835" s="56"/>
    </row>
    <row r="836">
      <c r="A836" s="65"/>
      <c r="B836" s="65"/>
      <c r="C836" s="65"/>
      <c r="D836" s="65"/>
      <c r="E836" s="65"/>
      <c r="F836" s="65"/>
      <c r="G836" s="65"/>
      <c r="H836" s="65"/>
      <c r="I836" s="69"/>
      <c r="J836" s="70"/>
      <c r="K836" s="70"/>
      <c r="L836" s="69"/>
      <c r="M836" s="70"/>
      <c r="N836" s="70"/>
      <c r="O836" s="70"/>
      <c r="P836" s="70"/>
      <c r="Q836" s="70"/>
      <c r="R836" s="70"/>
      <c r="S836" s="70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65"/>
      <c r="AO836" s="56"/>
      <c r="AP836" s="56"/>
      <c r="AQ836" s="56"/>
      <c r="AR836" s="56"/>
    </row>
    <row r="837">
      <c r="A837" s="65"/>
      <c r="B837" s="65"/>
      <c r="C837" s="65"/>
      <c r="D837" s="65"/>
      <c r="E837" s="65"/>
      <c r="F837" s="65"/>
      <c r="G837" s="65"/>
      <c r="H837" s="65"/>
      <c r="I837" s="69"/>
      <c r="J837" s="70"/>
      <c r="K837" s="70"/>
      <c r="L837" s="69"/>
      <c r="M837" s="70"/>
      <c r="N837" s="70"/>
      <c r="O837" s="70"/>
      <c r="P837" s="70"/>
      <c r="Q837" s="70"/>
      <c r="R837" s="70"/>
      <c r="S837" s="70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65"/>
      <c r="AO837" s="56"/>
      <c r="AP837" s="56"/>
      <c r="AQ837" s="56"/>
      <c r="AR837" s="56"/>
    </row>
    <row r="838">
      <c r="A838" s="65"/>
      <c r="B838" s="65"/>
      <c r="C838" s="65"/>
      <c r="D838" s="65"/>
      <c r="E838" s="65"/>
      <c r="F838" s="65"/>
      <c r="G838" s="65"/>
      <c r="H838" s="65"/>
      <c r="I838" s="69"/>
      <c r="J838" s="70"/>
      <c r="K838" s="70"/>
      <c r="L838" s="69"/>
      <c r="M838" s="70"/>
      <c r="N838" s="70"/>
      <c r="O838" s="70"/>
      <c r="P838" s="70"/>
      <c r="Q838" s="70"/>
      <c r="R838" s="70"/>
      <c r="S838" s="70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65"/>
      <c r="AO838" s="56"/>
      <c r="AP838" s="56"/>
      <c r="AQ838" s="56"/>
      <c r="AR838" s="56"/>
    </row>
    <row r="839">
      <c r="A839" s="65"/>
      <c r="B839" s="65"/>
      <c r="C839" s="65"/>
      <c r="D839" s="65"/>
      <c r="E839" s="65"/>
      <c r="F839" s="65"/>
      <c r="G839" s="65"/>
      <c r="H839" s="65"/>
      <c r="I839" s="69"/>
      <c r="J839" s="70"/>
      <c r="K839" s="70"/>
      <c r="L839" s="69"/>
      <c r="M839" s="70"/>
      <c r="N839" s="70"/>
      <c r="O839" s="70"/>
      <c r="P839" s="70"/>
      <c r="Q839" s="70"/>
      <c r="R839" s="70"/>
      <c r="S839" s="70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65"/>
      <c r="AO839" s="56"/>
      <c r="AP839" s="56"/>
      <c r="AQ839" s="56"/>
      <c r="AR839" s="56"/>
    </row>
    <row r="840">
      <c r="A840" s="65"/>
      <c r="B840" s="65"/>
      <c r="C840" s="65"/>
      <c r="D840" s="65"/>
      <c r="E840" s="65"/>
      <c r="F840" s="65"/>
      <c r="G840" s="65"/>
      <c r="H840" s="65"/>
      <c r="I840" s="69"/>
      <c r="J840" s="70"/>
      <c r="K840" s="70"/>
      <c r="L840" s="69"/>
      <c r="M840" s="70"/>
      <c r="N840" s="70"/>
      <c r="O840" s="70"/>
      <c r="P840" s="70"/>
      <c r="Q840" s="70"/>
      <c r="R840" s="70"/>
      <c r="S840" s="70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65"/>
      <c r="AO840" s="56"/>
      <c r="AP840" s="56"/>
      <c r="AQ840" s="56"/>
      <c r="AR840" s="56"/>
    </row>
    <row r="841">
      <c r="A841" s="65"/>
      <c r="B841" s="65"/>
      <c r="C841" s="65"/>
      <c r="D841" s="65"/>
      <c r="E841" s="65"/>
      <c r="F841" s="65"/>
      <c r="G841" s="65"/>
      <c r="H841" s="65"/>
      <c r="I841" s="69"/>
      <c r="J841" s="70"/>
      <c r="K841" s="70"/>
      <c r="L841" s="69"/>
      <c r="M841" s="70"/>
      <c r="N841" s="70"/>
      <c r="O841" s="70"/>
      <c r="P841" s="70"/>
      <c r="Q841" s="70"/>
      <c r="R841" s="70"/>
      <c r="S841" s="70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65"/>
      <c r="AO841" s="56"/>
      <c r="AP841" s="56"/>
      <c r="AQ841" s="56"/>
      <c r="AR841" s="56"/>
    </row>
    <row r="842">
      <c r="A842" s="65"/>
      <c r="B842" s="65"/>
      <c r="C842" s="65"/>
      <c r="D842" s="65"/>
      <c r="E842" s="65"/>
      <c r="F842" s="65"/>
      <c r="G842" s="65"/>
      <c r="H842" s="65"/>
      <c r="I842" s="69"/>
      <c r="J842" s="70"/>
      <c r="K842" s="70"/>
      <c r="L842" s="69"/>
      <c r="M842" s="70"/>
      <c r="N842" s="70"/>
      <c r="O842" s="70"/>
      <c r="P842" s="70"/>
      <c r="Q842" s="70"/>
      <c r="R842" s="70"/>
      <c r="S842" s="70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65"/>
      <c r="AO842" s="56"/>
      <c r="AP842" s="56"/>
      <c r="AQ842" s="56"/>
      <c r="AR842" s="56"/>
    </row>
    <row r="843">
      <c r="A843" s="65"/>
      <c r="B843" s="65"/>
      <c r="C843" s="65"/>
      <c r="D843" s="65"/>
      <c r="E843" s="65"/>
      <c r="F843" s="65"/>
      <c r="G843" s="65"/>
      <c r="H843" s="65"/>
      <c r="I843" s="69"/>
      <c r="J843" s="70"/>
      <c r="K843" s="70"/>
      <c r="L843" s="69"/>
      <c r="M843" s="70"/>
      <c r="N843" s="70"/>
      <c r="O843" s="70"/>
      <c r="P843" s="70"/>
      <c r="Q843" s="70"/>
      <c r="R843" s="70"/>
      <c r="S843" s="70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65"/>
      <c r="AO843" s="56"/>
      <c r="AP843" s="56"/>
      <c r="AQ843" s="56"/>
      <c r="AR843" s="56"/>
    </row>
    <row r="844">
      <c r="A844" s="65"/>
      <c r="B844" s="65"/>
      <c r="C844" s="65"/>
      <c r="D844" s="65"/>
      <c r="E844" s="65"/>
      <c r="F844" s="65"/>
      <c r="G844" s="65"/>
      <c r="H844" s="65"/>
      <c r="I844" s="69"/>
      <c r="J844" s="70"/>
      <c r="K844" s="70"/>
      <c r="L844" s="69"/>
      <c r="M844" s="70"/>
      <c r="N844" s="70"/>
      <c r="O844" s="70"/>
      <c r="P844" s="70"/>
      <c r="Q844" s="70"/>
      <c r="R844" s="70"/>
      <c r="S844" s="70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65"/>
      <c r="AO844" s="56"/>
      <c r="AP844" s="56"/>
      <c r="AQ844" s="56"/>
      <c r="AR844" s="56"/>
    </row>
    <row r="845">
      <c r="A845" s="65"/>
      <c r="B845" s="65"/>
      <c r="C845" s="65"/>
      <c r="D845" s="65"/>
      <c r="E845" s="65"/>
      <c r="F845" s="65"/>
      <c r="G845" s="65"/>
      <c r="H845" s="65"/>
      <c r="I845" s="69"/>
      <c r="J845" s="70"/>
      <c r="K845" s="70"/>
      <c r="L845" s="69"/>
      <c r="M845" s="70"/>
      <c r="N845" s="70"/>
      <c r="O845" s="70"/>
      <c r="P845" s="70"/>
      <c r="Q845" s="70"/>
      <c r="R845" s="70"/>
      <c r="S845" s="70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65"/>
      <c r="AO845" s="56"/>
      <c r="AP845" s="56"/>
      <c r="AQ845" s="56"/>
      <c r="AR845" s="56"/>
    </row>
    <row r="846">
      <c r="A846" s="65"/>
      <c r="B846" s="65"/>
      <c r="C846" s="65"/>
      <c r="D846" s="65"/>
      <c r="E846" s="65"/>
      <c r="F846" s="65"/>
      <c r="G846" s="65"/>
      <c r="H846" s="65"/>
      <c r="I846" s="69"/>
      <c r="J846" s="70"/>
      <c r="K846" s="70"/>
      <c r="L846" s="69"/>
      <c r="M846" s="70"/>
      <c r="N846" s="70"/>
      <c r="O846" s="70"/>
      <c r="P846" s="70"/>
      <c r="Q846" s="70"/>
      <c r="R846" s="70"/>
      <c r="S846" s="70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65"/>
      <c r="AO846" s="56"/>
      <c r="AP846" s="56"/>
      <c r="AQ846" s="56"/>
      <c r="AR846" s="56"/>
    </row>
    <row r="847">
      <c r="A847" s="65"/>
      <c r="B847" s="65"/>
      <c r="C847" s="65"/>
      <c r="D847" s="65"/>
      <c r="E847" s="65"/>
      <c r="F847" s="65"/>
      <c r="G847" s="65"/>
      <c r="H847" s="65"/>
      <c r="I847" s="69"/>
      <c r="J847" s="70"/>
      <c r="K847" s="70"/>
      <c r="L847" s="69"/>
      <c r="M847" s="70"/>
      <c r="N847" s="70"/>
      <c r="O847" s="70"/>
      <c r="P847" s="70"/>
      <c r="Q847" s="70"/>
      <c r="R847" s="70"/>
      <c r="S847" s="70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65"/>
      <c r="AO847" s="56"/>
      <c r="AP847" s="56"/>
      <c r="AQ847" s="56"/>
      <c r="AR847" s="56"/>
    </row>
    <row r="848">
      <c r="A848" s="65"/>
      <c r="B848" s="65"/>
      <c r="C848" s="65"/>
      <c r="D848" s="65"/>
      <c r="E848" s="65"/>
      <c r="F848" s="65"/>
      <c r="G848" s="65"/>
      <c r="H848" s="65"/>
      <c r="I848" s="69"/>
      <c r="J848" s="70"/>
      <c r="K848" s="70"/>
      <c r="L848" s="69"/>
      <c r="M848" s="70"/>
      <c r="N848" s="70"/>
      <c r="O848" s="70"/>
      <c r="P848" s="70"/>
      <c r="Q848" s="70"/>
      <c r="R848" s="70"/>
      <c r="S848" s="70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65"/>
      <c r="AO848" s="56"/>
      <c r="AP848" s="56"/>
      <c r="AQ848" s="56"/>
      <c r="AR848" s="56"/>
    </row>
    <row r="849">
      <c r="A849" s="65"/>
      <c r="B849" s="65"/>
      <c r="C849" s="65"/>
      <c r="D849" s="65"/>
      <c r="E849" s="65"/>
      <c r="F849" s="65"/>
      <c r="G849" s="65"/>
      <c r="H849" s="65"/>
      <c r="I849" s="69"/>
      <c r="J849" s="70"/>
      <c r="K849" s="70"/>
      <c r="L849" s="69"/>
      <c r="M849" s="70"/>
      <c r="N849" s="70"/>
      <c r="O849" s="70"/>
      <c r="P849" s="70"/>
      <c r="Q849" s="70"/>
      <c r="R849" s="70"/>
      <c r="S849" s="70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65"/>
      <c r="AO849" s="56"/>
      <c r="AP849" s="56"/>
      <c r="AQ849" s="56"/>
      <c r="AR849" s="56"/>
    </row>
    <row r="850">
      <c r="A850" s="65"/>
      <c r="B850" s="65"/>
      <c r="C850" s="65"/>
      <c r="D850" s="65"/>
      <c r="E850" s="65"/>
      <c r="F850" s="65"/>
      <c r="G850" s="65"/>
      <c r="H850" s="65"/>
      <c r="I850" s="69"/>
      <c r="J850" s="70"/>
      <c r="K850" s="70"/>
      <c r="L850" s="69"/>
      <c r="M850" s="70"/>
      <c r="N850" s="70"/>
      <c r="O850" s="70"/>
      <c r="P850" s="70"/>
      <c r="Q850" s="70"/>
      <c r="R850" s="70"/>
      <c r="S850" s="70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65"/>
      <c r="AO850" s="56"/>
      <c r="AP850" s="56"/>
      <c r="AQ850" s="56"/>
      <c r="AR850" s="56"/>
    </row>
    <row r="851">
      <c r="A851" s="65"/>
      <c r="B851" s="65"/>
      <c r="C851" s="65"/>
      <c r="D851" s="65"/>
      <c r="E851" s="65"/>
      <c r="F851" s="65"/>
      <c r="G851" s="65"/>
      <c r="H851" s="65"/>
      <c r="I851" s="69"/>
      <c r="J851" s="70"/>
      <c r="K851" s="70"/>
      <c r="L851" s="69"/>
      <c r="M851" s="70"/>
      <c r="N851" s="70"/>
      <c r="O851" s="70"/>
      <c r="P851" s="70"/>
      <c r="Q851" s="70"/>
      <c r="R851" s="70"/>
      <c r="S851" s="70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65"/>
      <c r="AO851" s="56"/>
      <c r="AP851" s="56"/>
      <c r="AQ851" s="56"/>
      <c r="AR851" s="56"/>
    </row>
    <row r="852">
      <c r="A852" s="65"/>
      <c r="B852" s="65"/>
      <c r="C852" s="65"/>
      <c r="D852" s="65"/>
      <c r="E852" s="65"/>
      <c r="F852" s="65"/>
      <c r="G852" s="65"/>
      <c r="H852" s="65"/>
      <c r="I852" s="69"/>
      <c r="J852" s="70"/>
      <c r="K852" s="70"/>
      <c r="L852" s="69"/>
      <c r="M852" s="70"/>
      <c r="N852" s="70"/>
      <c r="O852" s="70"/>
      <c r="P852" s="70"/>
      <c r="Q852" s="70"/>
      <c r="R852" s="70"/>
      <c r="S852" s="70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65"/>
      <c r="AO852" s="56"/>
      <c r="AP852" s="56"/>
      <c r="AQ852" s="56"/>
      <c r="AR852" s="56"/>
    </row>
    <row r="853">
      <c r="A853" s="65"/>
      <c r="B853" s="65"/>
      <c r="C853" s="65"/>
      <c r="D853" s="65"/>
      <c r="E853" s="65"/>
      <c r="F853" s="65"/>
      <c r="G853" s="65"/>
      <c r="H853" s="65"/>
      <c r="I853" s="69"/>
      <c r="J853" s="70"/>
      <c r="K853" s="70"/>
      <c r="L853" s="69"/>
      <c r="M853" s="70"/>
      <c r="N853" s="70"/>
      <c r="O853" s="70"/>
      <c r="P853" s="70"/>
      <c r="Q853" s="70"/>
      <c r="R853" s="70"/>
      <c r="S853" s="70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65"/>
      <c r="AO853" s="56"/>
      <c r="AP853" s="56"/>
      <c r="AQ853" s="56"/>
      <c r="AR853" s="56"/>
    </row>
    <row r="854">
      <c r="A854" s="65"/>
      <c r="B854" s="65"/>
      <c r="C854" s="65"/>
      <c r="D854" s="65"/>
      <c r="E854" s="65"/>
      <c r="F854" s="65"/>
      <c r="G854" s="65"/>
      <c r="H854" s="65"/>
      <c r="I854" s="69"/>
      <c r="J854" s="70"/>
      <c r="K854" s="70"/>
      <c r="L854" s="69"/>
      <c r="M854" s="70"/>
      <c r="N854" s="70"/>
      <c r="O854" s="70"/>
      <c r="P854" s="70"/>
      <c r="Q854" s="70"/>
      <c r="R854" s="70"/>
      <c r="S854" s="70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65"/>
      <c r="AO854" s="56"/>
      <c r="AP854" s="56"/>
      <c r="AQ854" s="56"/>
      <c r="AR854" s="56"/>
    </row>
    <row r="855">
      <c r="A855" s="65"/>
      <c r="B855" s="65"/>
      <c r="C855" s="65"/>
      <c r="D855" s="65"/>
      <c r="E855" s="65"/>
      <c r="F855" s="65"/>
      <c r="G855" s="65"/>
      <c r="H855" s="65"/>
      <c r="I855" s="69"/>
      <c r="J855" s="70"/>
      <c r="K855" s="70"/>
      <c r="L855" s="69"/>
      <c r="M855" s="70"/>
      <c r="N855" s="70"/>
      <c r="O855" s="70"/>
      <c r="P855" s="70"/>
      <c r="Q855" s="70"/>
      <c r="R855" s="70"/>
      <c r="S855" s="70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65"/>
      <c r="AO855" s="56"/>
      <c r="AP855" s="56"/>
      <c r="AQ855" s="56"/>
      <c r="AR855" s="56"/>
    </row>
    <row r="856">
      <c r="A856" s="65"/>
      <c r="B856" s="65"/>
      <c r="C856" s="65"/>
      <c r="D856" s="65"/>
      <c r="E856" s="65"/>
      <c r="F856" s="65"/>
      <c r="G856" s="65"/>
      <c r="H856" s="65"/>
      <c r="I856" s="69"/>
      <c r="J856" s="70"/>
      <c r="K856" s="70"/>
      <c r="L856" s="69"/>
      <c r="M856" s="70"/>
      <c r="N856" s="70"/>
      <c r="O856" s="70"/>
      <c r="P856" s="70"/>
      <c r="Q856" s="70"/>
      <c r="R856" s="70"/>
      <c r="S856" s="70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65"/>
      <c r="AO856" s="56"/>
      <c r="AP856" s="56"/>
      <c r="AQ856" s="56"/>
      <c r="AR856" s="56"/>
    </row>
    <row r="857">
      <c r="A857" s="65"/>
      <c r="B857" s="65"/>
      <c r="C857" s="65"/>
      <c r="D857" s="65"/>
      <c r="E857" s="65"/>
      <c r="F857" s="65"/>
      <c r="G857" s="65"/>
      <c r="H857" s="65"/>
      <c r="I857" s="69"/>
      <c r="J857" s="70"/>
      <c r="K857" s="70"/>
      <c r="L857" s="69"/>
      <c r="M857" s="70"/>
      <c r="N857" s="70"/>
      <c r="O857" s="70"/>
      <c r="P857" s="70"/>
      <c r="Q857" s="70"/>
      <c r="R857" s="70"/>
      <c r="S857" s="70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65"/>
      <c r="AO857" s="56"/>
      <c r="AP857" s="56"/>
      <c r="AQ857" s="56"/>
      <c r="AR857" s="56"/>
    </row>
    <row r="858">
      <c r="A858" s="65"/>
      <c r="B858" s="65"/>
      <c r="C858" s="65"/>
      <c r="D858" s="65"/>
      <c r="E858" s="65"/>
      <c r="F858" s="65"/>
      <c r="G858" s="65"/>
      <c r="H858" s="65"/>
      <c r="I858" s="69"/>
      <c r="J858" s="70"/>
      <c r="K858" s="70"/>
      <c r="L858" s="69"/>
      <c r="M858" s="70"/>
      <c r="N858" s="70"/>
      <c r="O858" s="70"/>
      <c r="P858" s="70"/>
      <c r="Q858" s="70"/>
      <c r="R858" s="70"/>
      <c r="S858" s="70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65"/>
      <c r="AO858" s="56"/>
      <c r="AP858" s="56"/>
      <c r="AQ858" s="56"/>
      <c r="AR858" s="56"/>
    </row>
    <row r="859">
      <c r="A859" s="65"/>
      <c r="B859" s="65"/>
      <c r="C859" s="65"/>
      <c r="D859" s="65"/>
      <c r="E859" s="65"/>
      <c r="F859" s="65"/>
      <c r="G859" s="65"/>
      <c r="H859" s="65"/>
      <c r="I859" s="69"/>
      <c r="J859" s="70"/>
      <c r="K859" s="70"/>
      <c r="L859" s="69"/>
      <c r="M859" s="70"/>
      <c r="N859" s="70"/>
      <c r="O859" s="70"/>
      <c r="P859" s="70"/>
      <c r="Q859" s="70"/>
      <c r="R859" s="70"/>
      <c r="S859" s="70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65"/>
      <c r="AO859" s="56"/>
      <c r="AP859" s="56"/>
      <c r="AQ859" s="56"/>
      <c r="AR859" s="56"/>
    </row>
    <row r="860">
      <c r="A860" s="65"/>
      <c r="B860" s="65"/>
      <c r="C860" s="65"/>
      <c r="D860" s="65"/>
      <c r="E860" s="65"/>
      <c r="F860" s="65"/>
      <c r="G860" s="65"/>
      <c r="H860" s="65"/>
      <c r="I860" s="69"/>
      <c r="J860" s="70"/>
      <c r="K860" s="70"/>
      <c r="L860" s="69"/>
      <c r="M860" s="70"/>
      <c r="N860" s="70"/>
      <c r="O860" s="70"/>
      <c r="P860" s="70"/>
      <c r="Q860" s="70"/>
      <c r="R860" s="70"/>
      <c r="S860" s="70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65"/>
      <c r="AO860" s="56"/>
      <c r="AP860" s="56"/>
      <c r="AQ860" s="56"/>
      <c r="AR860" s="56"/>
    </row>
    <row r="861">
      <c r="A861" s="65"/>
      <c r="B861" s="65"/>
      <c r="C861" s="65"/>
      <c r="D861" s="65"/>
      <c r="E861" s="65"/>
      <c r="F861" s="65"/>
      <c r="G861" s="65"/>
      <c r="H861" s="65"/>
      <c r="I861" s="69"/>
      <c r="J861" s="70"/>
      <c r="K861" s="70"/>
      <c r="L861" s="69"/>
      <c r="M861" s="70"/>
      <c r="N861" s="70"/>
      <c r="O861" s="70"/>
      <c r="P861" s="70"/>
      <c r="Q861" s="70"/>
      <c r="R861" s="70"/>
      <c r="S861" s="70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65"/>
      <c r="AO861" s="56"/>
      <c r="AP861" s="56"/>
      <c r="AQ861" s="56"/>
      <c r="AR861" s="56"/>
    </row>
    <row r="862">
      <c r="A862" s="65"/>
      <c r="B862" s="65"/>
      <c r="C862" s="65"/>
      <c r="D862" s="65"/>
      <c r="E862" s="65"/>
      <c r="F862" s="65"/>
      <c r="G862" s="65"/>
      <c r="H862" s="65"/>
      <c r="I862" s="69"/>
      <c r="J862" s="70"/>
      <c r="K862" s="70"/>
      <c r="L862" s="69"/>
      <c r="M862" s="70"/>
      <c r="N862" s="70"/>
      <c r="O862" s="70"/>
      <c r="P862" s="70"/>
      <c r="Q862" s="70"/>
      <c r="R862" s="70"/>
      <c r="S862" s="70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65"/>
      <c r="AO862" s="56"/>
      <c r="AP862" s="56"/>
      <c r="AQ862" s="56"/>
      <c r="AR862" s="56"/>
    </row>
    <row r="863">
      <c r="A863" s="65"/>
      <c r="B863" s="65"/>
      <c r="C863" s="65"/>
      <c r="D863" s="65"/>
      <c r="E863" s="65"/>
      <c r="F863" s="65"/>
      <c r="G863" s="65"/>
      <c r="H863" s="65"/>
      <c r="I863" s="69"/>
      <c r="J863" s="70"/>
      <c r="K863" s="70"/>
      <c r="L863" s="69"/>
      <c r="M863" s="70"/>
      <c r="N863" s="70"/>
      <c r="O863" s="70"/>
      <c r="P863" s="70"/>
      <c r="Q863" s="70"/>
      <c r="R863" s="70"/>
      <c r="S863" s="70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65"/>
      <c r="AO863" s="56"/>
      <c r="AP863" s="56"/>
      <c r="AQ863" s="56"/>
      <c r="AR863" s="56"/>
    </row>
    <row r="864">
      <c r="A864" s="65"/>
      <c r="B864" s="65"/>
      <c r="C864" s="65"/>
      <c r="D864" s="65"/>
      <c r="E864" s="65"/>
      <c r="F864" s="65"/>
      <c r="G864" s="65"/>
      <c r="H864" s="65"/>
      <c r="I864" s="69"/>
      <c r="J864" s="70"/>
      <c r="K864" s="70"/>
      <c r="L864" s="69"/>
      <c r="M864" s="70"/>
      <c r="N864" s="70"/>
      <c r="O864" s="70"/>
      <c r="P864" s="70"/>
      <c r="Q864" s="70"/>
      <c r="R864" s="70"/>
      <c r="S864" s="70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65"/>
      <c r="AO864" s="56"/>
      <c r="AP864" s="56"/>
      <c r="AQ864" s="56"/>
      <c r="AR864" s="56"/>
    </row>
    <row r="865">
      <c r="A865" s="65"/>
      <c r="B865" s="65"/>
      <c r="C865" s="65"/>
      <c r="D865" s="65"/>
      <c r="E865" s="65"/>
      <c r="F865" s="65"/>
      <c r="G865" s="65"/>
      <c r="H865" s="65"/>
      <c r="I865" s="69"/>
      <c r="J865" s="70"/>
      <c r="K865" s="70"/>
      <c r="L865" s="69"/>
      <c r="M865" s="70"/>
      <c r="N865" s="70"/>
      <c r="O865" s="70"/>
      <c r="P865" s="70"/>
      <c r="Q865" s="70"/>
      <c r="R865" s="70"/>
      <c r="S865" s="70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65"/>
      <c r="AO865" s="56"/>
      <c r="AP865" s="56"/>
      <c r="AQ865" s="56"/>
      <c r="AR865" s="56"/>
    </row>
    <row r="866">
      <c r="A866" s="65"/>
      <c r="B866" s="65"/>
      <c r="C866" s="65"/>
      <c r="D866" s="65"/>
      <c r="E866" s="65"/>
      <c r="F866" s="65"/>
      <c r="G866" s="65"/>
      <c r="H866" s="65"/>
      <c r="I866" s="69"/>
      <c r="J866" s="70"/>
      <c r="K866" s="70"/>
      <c r="L866" s="69"/>
      <c r="M866" s="70"/>
      <c r="N866" s="70"/>
      <c r="O866" s="70"/>
      <c r="P866" s="70"/>
      <c r="Q866" s="70"/>
      <c r="R866" s="70"/>
      <c r="S866" s="70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65"/>
      <c r="AO866" s="56"/>
      <c r="AP866" s="56"/>
      <c r="AQ866" s="56"/>
      <c r="AR866" s="56"/>
    </row>
    <row r="867">
      <c r="A867" s="65"/>
      <c r="B867" s="65"/>
      <c r="C867" s="65"/>
      <c r="D867" s="65"/>
      <c r="E867" s="65"/>
      <c r="F867" s="65"/>
      <c r="G867" s="65"/>
      <c r="H867" s="65"/>
      <c r="I867" s="69"/>
      <c r="J867" s="70"/>
      <c r="K867" s="70"/>
      <c r="L867" s="69"/>
      <c r="M867" s="70"/>
      <c r="N867" s="70"/>
      <c r="O867" s="70"/>
      <c r="P867" s="70"/>
      <c r="Q867" s="70"/>
      <c r="R867" s="70"/>
      <c r="S867" s="70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65"/>
      <c r="AO867" s="56"/>
      <c r="AP867" s="56"/>
      <c r="AQ867" s="56"/>
      <c r="AR867" s="56"/>
    </row>
    <row r="868">
      <c r="A868" s="65"/>
      <c r="B868" s="65"/>
      <c r="C868" s="65"/>
      <c r="D868" s="65"/>
      <c r="E868" s="65"/>
      <c r="F868" s="65"/>
      <c r="G868" s="65"/>
      <c r="H868" s="65"/>
      <c r="I868" s="69"/>
      <c r="J868" s="70"/>
      <c r="K868" s="70"/>
      <c r="L868" s="69"/>
      <c r="M868" s="70"/>
      <c r="N868" s="70"/>
      <c r="O868" s="70"/>
      <c r="P868" s="70"/>
      <c r="Q868" s="70"/>
      <c r="R868" s="70"/>
      <c r="S868" s="70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65"/>
      <c r="AO868" s="56"/>
      <c r="AP868" s="56"/>
      <c r="AQ868" s="56"/>
      <c r="AR868" s="56"/>
    </row>
    <row r="869">
      <c r="A869" s="65"/>
      <c r="B869" s="65"/>
      <c r="C869" s="65"/>
      <c r="D869" s="65"/>
      <c r="E869" s="65"/>
      <c r="F869" s="65"/>
      <c r="G869" s="65"/>
      <c r="H869" s="65"/>
      <c r="I869" s="69"/>
      <c r="J869" s="70"/>
      <c r="K869" s="70"/>
      <c r="L869" s="69"/>
      <c r="M869" s="70"/>
      <c r="N869" s="70"/>
      <c r="O869" s="70"/>
      <c r="P869" s="70"/>
      <c r="Q869" s="70"/>
      <c r="R869" s="70"/>
      <c r="S869" s="70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65"/>
      <c r="AO869" s="56"/>
      <c r="AP869" s="56"/>
      <c r="AQ869" s="56"/>
      <c r="AR869" s="56"/>
    </row>
    <row r="870">
      <c r="A870" s="65"/>
      <c r="B870" s="65"/>
      <c r="C870" s="65"/>
      <c r="D870" s="65"/>
      <c r="E870" s="65"/>
      <c r="F870" s="65"/>
      <c r="G870" s="65"/>
      <c r="H870" s="65"/>
      <c r="I870" s="69"/>
      <c r="J870" s="70"/>
      <c r="K870" s="70"/>
      <c r="L870" s="69"/>
      <c r="M870" s="70"/>
      <c r="N870" s="70"/>
      <c r="O870" s="70"/>
      <c r="P870" s="70"/>
      <c r="Q870" s="70"/>
      <c r="R870" s="70"/>
      <c r="S870" s="70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65"/>
      <c r="AO870" s="56"/>
      <c r="AP870" s="56"/>
      <c r="AQ870" s="56"/>
      <c r="AR870" s="56"/>
    </row>
    <row r="871">
      <c r="A871" s="65"/>
      <c r="B871" s="65"/>
      <c r="C871" s="65"/>
      <c r="D871" s="65"/>
      <c r="E871" s="65"/>
      <c r="F871" s="65"/>
      <c r="G871" s="65"/>
      <c r="H871" s="65"/>
      <c r="I871" s="69"/>
      <c r="J871" s="70"/>
      <c r="K871" s="70"/>
      <c r="L871" s="69"/>
      <c r="M871" s="70"/>
      <c r="N871" s="70"/>
      <c r="O871" s="70"/>
      <c r="P871" s="70"/>
      <c r="Q871" s="70"/>
      <c r="R871" s="70"/>
      <c r="S871" s="70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65"/>
      <c r="AO871" s="56"/>
      <c r="AP871" s="56"/>
      <c r="AQ871" s="56"/>
      <c r="AR871" s="56"/>
    </row>
    <row r="872">
      <c r="A872" s="65"/>
      <c r="B872" s="65"/>
      <c r="C872" s="65"/>
      <c r="D872" s="65"/>
      <c r="E872" s="65"/>
      <c r="F872" s="65"/>
      <c r="G872" s="65"/>
      <c r="H872" s="65"/>
      <c r="I872" s="69"/>
      <c r="J872" s="70"/>
      <c r="K872" s="70"/>
      <c r="L872" s="69"/>
      <c r="M872" s="70"/>
      <c r="N872" s="70"/>
      <c r="O872" s="70"/>
      <c r="P872" s="70"/>
      <c r="Q872" s="70"/>
      <c r="R872" s="70"/>
      <c r="S872" s="70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65"/>
      <c r="AO872" s="56"/>
      <c r="AP872" s="56"/>
      <c r="AQ872" s="56"/>
      <c r="AR872" s="56"/>
    </row>
    <row r="873">
      <c r="A873" s="65"/>
      <c r="B873" s="65"/>
      <c r="C873" s="65"/>
      <c r="D873" s="65"/>
      <c r="E873" s="65"/>
      <c r="F873" s="65"/>
      <c r="G873" s="65"/>
      <c r="H873" s="65"/>
      <c r="I873" s="69"/>
      <c r="J873" s="70"/>
      <c r="K873" s="70"/>
      <c r="L873" s="69"/>
      <c r="M873" s="70"/>
      <c r="N873" s="70"/>
      <c r="O873" s="70"/>
      <c r="P873" s="70"/>
      <c r="Q873" s="70"/>
      <c r="R873" s="70"/>
      <c r="S873" s="70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65"/>
      <c r="AO873" s="56"/>
      <c r="AP873" s="56"/>
      <c r="AQ873" s="56"/>
      <c r="AR873" s="56"/>
    </row>
    <row r="874">
      <c r="A874" s="65"/>
      <c r="B874" s="65"/>
      <c r="C874" s="65"/>
      <c r="D874" s="65"/>
      <c r="E874" s="65"/>
      <c r="F874" s="65"/>
      <c r="G874" s="65"/>
      <c r="H874" s="65"/>
      <c r="I874" s="69"/>
      <c r="J874" s="70"/>
      <c r="K874" s="70"/>
      <c r="L874" s="69"/>
      <c r="M874" s="70"/>
      <c r="N874" s="70"/>
      <c r="O874" s="70"/>
      <c r="P874" s="70"/>
      <c r="Q874" s="70"/>
      <c r="R874" s="70"/>
      <c r="S874" s="70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65"/>
      <c r="AO874" s="56"/>
      <c r="AP874" s="56"/>
      <c r="AQ874" s="56"/>
      <c r="AR874" s="56"/>
    </row>
    <row r="875">
      <c r="A875" s="65"/>
      <c r="B875" s="65"/>
      <c r="C875" s="65"/>
      <c r="D875" s="65"/>
      <c r="E875" s="65"/>
      <c r="F875" s="65"/>
      <c r="G875" s="65"/>
      <c r="H875" s="65"/>
      <c r="I875" s="69"/>
      <c r="J875" s="70"/>
      <c r="K875" s="70"/>
      <c r="L875" s="69"/>
      <c r="M875" s="70"/>
      <c r="N875" s="70"/>
      <c r="O875" s="70"/>
      <c r="P875" s="70"/>
      <c r="Q875" s="70"/>
      <c r="R875" s="70"/>
      <c r="S875" s="70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65"/>
      <c r="AO875" s="56"/>
      <c r="AP875" s="56"/>
      <c r="AQ875" s="56"/>
      <c r="AR875" s="56"/>
    </row>
    <row r="876">
      <c r="A876" s="65"/>
      <c r="B876" s="65"/>
      <c r="C876" s="65"/>
      <c r="D876" s="65"/>
      <c r="E876" s="65"/>
      <c r="F876" s="65"/>
      <c r="G876" s="65"/>
      <c r="H876" s="65"/>
      <c r="I876" s="69"/>
      <c r="J876" s="70"/>
      <c r="K876" s="70"/>
      <c r="L876" s="69"/>
      <c r="M876" s="70"/>
      <c r="N876" s="70"/>
      <c r="O876" s="70"/>
      <c r="P876" s="70"/>
      <c r="Q876" s="70"/>
      <c r="R876" s="70"/>
      <c r="S876" s="70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65"/>
      <c r="AO876" s="56"/>
      <c r="AP876" s="56"/>
      <c r="AQ876" s="56"/>
      <c r="AR876" s="56"/>
    </row>
    <row r="877">
      <c r="A877" s="65"/>
      <c r="B877" s="65"/>
      <c r="C877" s="65"/>
      <c r="D877" s="65"/>
      <c r="E877" s="65"/>
      <c r="F877" s="65"/>
      <c r="G877" s="65"/>
      <c r="H877" s="65"/>
      <c r="I877" s="69"/>
      <c r="J877" s="70"/>
      <c r="K877" s="70"/>
      <c r="L877" s="69"/>
      <c r="M877" s="70"/>
      <c r="N877" s="70"/>
      <c r="O877" s="70"/>
      <c r="P877" s="70"/>
      <c r="Q877" s="70"/>
      <c r="R877" s="70"/>
      <c r="S877" s="70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65"/>
      <c r="AO877" s="56"/>
      <c r="AP877" s="56"/>
      <c r="AQ877" s="56"/>
      <c r="AR877" s="56"/>
    </row>
    <row r="878">
      <c r="A878" s="65"/>
      <c r="B878" s="65"/>
      <c r="C878" s="65"/>
      <c r="D878" s="65"/>
      <c r="E878" s="65"/>
      <c r="F878" s="65"/>
      <c r="G878" s="65"/>
      <c r="H878" s="65"/>
      <c r="I878" s="69"/>
      <c r="J878" s="70"/>
      <c r="K878" s="70"/>
      <c r="L878" s="69"/>
      <c r="M878" s="70"/>
      <c r="N878" s="70"/>
      <c r="O878" s="70"/>
      <c r="P878" s="70"/>
      <c r="Q878" s="70"/>
      <c r="R878" s="70"/>
      <c r="S878" s="70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65"/>
      <c r="AO878" s="56"/>
      <c r="AP878" s="56"/>
      <c r="AQ878" s="56"/>
      <c r="AR878" s="56"/>
    </row>
    <row r="879">
      <c r="A879" s="65"/>
      <c r="B879" s="65"/>
      <c r="C879" s="65"/>
      <c r="D879" s="65"/>
      <c r="E879" s="65"/>
      <c r="F879" s="65"/>
      <c r="G879" s="65"/>
      <c r="H879" s="65"/>
      <c r="I879" s="69"/>
      <c r="J879" s="70"/>
      <c r="K879" s="70"/>
      <c r="L879" s="69"/>
      <c r="M879" s="70"/>
      <c r="N879" s="70"/>
      <c r="O879" s="70"/>
      <c r="P879" s="70"/>
      <c r="Q879" s="70"/>
      <c r="R879" s="70"/>
      <c r="S879" s="70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65"/>
      <c r="AO879" s="56"/>
      <c r="AP879" s="56"/>
      <c r="AQ879" s="56"/>
      <c r="AR879" s="56"/>
    </row>
    <row r="880">
      <c r="A880" s="65"/>
      <c r="B880" s="65"/>
      <c r="C880" s="65"/>
      <c r="D880" s="65"/>
      <c r="E880" s="65"/>
      <c r="F880" s="65"/>
      <c r="G880" s="65"/>
      <c r="H880" s="65"/>
      <c r="I880" s="69"/>
      <c r="J880" s="70"/>
      <c r="K880" s="70"/>
      <c r="L880" s="69"/>
      <c r="M880" s="70"/>
      <c r="N880" s="70"/>
      <c r="O880" s="70"/>
      <c r="P880" s="70"/>
      <c r="Q880" s="70"/>
      <c r="R880" s="70"/>
      <c r="S880" s="70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65"/>
      <c r="AO880" s="56"/>
      <c r="AP880" s="56"/>
      <c r="AQ880" s="56"/>
      <c r="AR880" s="56"/>
    </row>
    <row r="881">
      <c r="A881" s="65"/>
      <c r="B881" s="65"/>
      <c r="C881" s="65"/>
      <c r="D881" s="65"/>
      <c r="E881" s="65"/>
      <c r="F881" s="65"/>
      <c r="G881" s="65"/>
      <c r="H881" s="65"/>
      <c r="I881" s="69"/>
      <c r="J881" s="70"/>
      <c r="K881" s="70"/>
      <c r="L881" s="69"/>
      <c r="M881" s="70"/>
      <c r="N881" s="70"/>
      <c r="O881" s="70"/>
      <c r="P881" s="70"/>
      <c r="Q881" s="70"/>
      <c r="R881" s="70"/>
      <c r="S881" s="70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65"/>
      <c r="AO881" s="56"/>
      <c r="AP881" s="56"/>
      <c r="AQ881" s="56"/>
      <c r="AR881" s="56"/>
    </row>
    <row r="882">
      <c r="A882" s="65"/>
      <c r="B882" s="65"/>
      <c r="C882" s="65"/>
      <c r="D882" s="65"/>
      <c r="E882" s="65"/>
      <c r="F882" s="65"/>
      <c r="G882" s="65"/>
      <c r="H882" s="65"/>
      <c r="I882" s="69"/>
      <c r="J882" s="70"/>
      <c r="K882" s="70"/>
      <c r="L882" s="69"/>
      <c r="M882" s="70"/>
      <c r="N882" s="70"/>
      <c r="O882" s="70"/>
      <c r="P882" s="70"/>
      <c r="Q882" s="70"/>
      <c r="R882" s="70"/>
      <c r="S882" s="70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65"/>
      <c r="AO882" s="56"/>
      <c r="AP882" s="56"/>
      <c r="AQ882" s="56"/>
      <c r="AR882" s="56"/>
    </row>
    <row r="883">
      <c r="A883" s="65"/>
      <c r="B883" s="65"/>
      <c r="C883" s="65"/>
      <c r="D883" s="65"/>
      <c r="E883" s="65"/>
      <c r="F883" s="65"/>
      <c r="G883" s="65"/>
      <c r="H883" s="65"/>
      <c r="I883" s="69"/>
      <c r="J883" s="70"/>
      <c r="K883" s="70"/>
      <c r="L883" s="69"/>
      <c r="M883" s="70"/>
      <c r="N883" s="70"/>
      <c r="O883" s="70"/>
      <c r="P883" s="70"/>
      <c r="Q883" s="70"/>
      <c r="R883" s="70"/>
      <c r="S883" s="70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65"/>
      <c r="AO883" s="56"/>
      <c r="AP883" s="56"/>
      <c r="AQ883" s="56"/>
      <c r="AR883" s="56"/>
    </row>
    <row r="884">
      <c r="A884" s="65"/>
      <c r="B884" s="65"/>
      <c r="C884" s="65"/>
      <c r="D884" s="65"/>
      <c r="E884" s="65"/>
      <c r="F884" s="65"/>
      <c r="G884" s="65"/>
      <c r="H884" s="65"/>
      <c r="I884" s="69"/>
      <c r="J884" s="70"/>
      <c r="K884" s="70"/>
      <c r="L884" s="69"/>
      <c r="M884" s="70"/>
      <c r="N884" s="70"/>
      <c r="O884" s="70"/>
      <c r="P884" s="70"/>
      <c r="Q884" s="70"/>
      <c r="R884" s="70"/>
      <c r="S884" s="70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65"/>
      <c r="AO884" s="56"/>
      <c r="AP884" s="56"/>
      <c r="AQ884" s="56"/>
      <c r="AR884" s="56"/>
    </row>
    <row r="885">
      <c r="A885" s="65"/>
      <c r="B885" s="65"/>
      <c r="C885" s="65"/>
      <c r="D885" s="65"/>
      <c r="E885" s="65"/>
      <c r="F885" s="65"/>
      <c r="G885" s="65"/>
      <c r="H885" s="65"/>
      <c r="I885" s="69"/>
      <c r="J885" s="70"/>
      <c r="K885" s="70"/>
      <c r="L885" s="69"/>
      <c r="M885" s="70"/>
      <c r="N885" s="70"/>
      <c r="O885" s="70"/>
      <c r="P885" s="70"/>
      <c r="Q885" s="70"/>
      <c r="R885" s="70"/>
      <c r="S885" s="70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65"/>
      <c r="AO885" s="56"/>
      <c r="AP885" s="56"/>
      <c r="AQ885" s="56"/>
      <c r="AR885" s="56"/>
    </row>
    <row r="886">
      <c r="A886" s="65"/>
      <c r="B886" s="65"/>
      <c r="C886" s="65"/>
      <c r="D886" s="65"/>
      <c r="E886" s="65"/>
      <c r="F886" s="65"/>
      <c r="G886" s="65"/>
      <c r="H886" s="65"/>
      <c r="I886" s="69"/>
      <c r="J886" s="70"/>
      <c r="K886" s="70"/>
      <c r="L886" s="69"/>
      <c r="M886" s="70"/>
      <c r="N886" s="70"/>
      <c r="O886" s="70"/>
      <c r="P886" s="70"/>
      <c r="Q886" s="70"/>
      <c r="R886" s="70"/>
      <c r="S886" s="70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65"/>
      <c r="AO886" s="56"/>
      <c r="AP886" s="56"/>
      <c r="AQ886" s="56"/>
      <c r="AR886" s="56"/>
    </row>
    <row r="887">
      <c r="A887" s="65"/>
      <c r="B887" s="65"/>
      <c r="C887" s="65"/>
      <c r="D887" s="65"/>
      <c r="E887" s="65"/>
      <c r="F887" s="65"/>
      <c r="G887" s="65"/>
      <c r="H887" s="65"/>
      <c r="I887" s="69"/>
      <c r="J887" s="70"/>
      <c r="K887" s="70"/>
      <c r="L887" s="69"/>
      <c r="M887" s="70"/>
      <c r="N887" s="70"/>
      <c r="O887" s="70"/>
      <c r="P887" s="70"/>
      <c r="Q887" s="70"/>
      <c r="R887" s="70"/>
      <c r="S887" s="70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65"/>
      <c r="AO887" s="56"/>
      <c r="AP887" s="56"/>
      <c r="AQ887" s="56"/>
      <c r="AR887" s="56"/>
    </row>
    <row r="888">
      <c r="A888" s="65"/>
      <c r="B888" s="65"/>
      <c r="C888" s="65"/>
      <c r="D888" s="65"/>
      <c r="E888" s="65"/>
      <c r="F888" s="65"/>
      <c r="G888" s="65"/>
      <c r="H888" s="65"/>
      <c r="I888" s="69"/>
      <c r="J888" s="70"/>
      <c r="K888" s="70"/>
      <c r="L888" s="69"/>
      <c r="M888" s="70"/>
      <c r="N888" s="70"/>
      <c r="O888" s="70"/>
      <c r="P888" s="70"/>
      <c r="Q888" s="70"/>
      <c r="R888" s="70"/>
      <c r="S888" s="70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65"/>
      <c r="AO888" s="56"/>
      <c r="AP888" s="56"/>
      <c r="AQ888" s="56"/>
      <c r="AR888" s="56"/>
    </row>
    <row r="889">
      <c r="A889" s="65"/>
      <c r="B889" s="65"/>
      <c r="C889" s="65"/>
      <c r="D889" s="65"/>
      <c r="E889" s="65"/>
      <c r="F889" s="65"/>
      <c r="G889" s="65"/>
      <c r="H889" s="65"/>
      <c r="I889" s="69"/>
      <c r="J889" s="70"/>
      <c r="K889" s="70"/>
      <c r="L889" s="69"/>
      <c r="M889" s="70"/>
      <c r="N889" s="70"/>
      <c r="O889" s="70"/>
      <c r="P889" s="70"/>
      <c r="Q889" s="70"/>
      <c r="R889" s="70"/>
      <c r="S889" s="70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65"/>
      <c r="AO889" s="56"/>
      <c r="AP889" s="56"/>
      <c r="AQ889" s="56"/>
      <c r="AR889" s="56"/>
    </row>
    <row r="890">
      <c r="A890" s="65"/>
      <c r="B890" s="65"/>
      <c r="C890" s="65"/>
      <c r="D890" s="65"/>
      <c r="E890" s="65"/>
      <c r="F890" s="65"/>
      <c r="G890" s="65"/>
      <c r="H890" s="65"/>
      <c r="I890" s="69"/>
      <c r="J890" s="70"/>
      <c r="K890" s="70"/>
      <c r="L890" s="69"/>
      <c r="M890" s="70"/>
      <c r="N890" s="70"/>
      <c r="O890" s="70"/>
      <c r="P890" s="70"/>
      <c r="Q890" s="70"/>
      <c r="R890" s="70"/>
      <c r="S890" s="70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65"/>
      <c r="AO890" s="56"/>
      <c r="AP890" s="56"/>
      <c r="AQ890" s="56"/>
      <c r="AR890" s="56"/>
    </row>
    <row r="891">
      <c r="A891" s="65"/>
      <c r="B891" s="65"/>
      <c r="C891" s="65"/>
      <c r="D891" s="65"/>
      <c r="E891" s="65"/>
      <c r="F891" s="65"/>
      <c r="G891" s="65"/>
      <c r="H891" s="65"/>
      <c r="I891" s="69"/>
      <c r="J891" s="70"/>
      <c r="K891" s="70"/>
      <c r="L891" s="69"/>
      <c r="M891" s="70"/>
      <c r="N891" s="70"/>
      <c r="O891" s="70"/>
      <c r="P891" s="70"/>
      <c r="Q891" s="70"/>
      <c r="R891" s="70"/>
      <c r="S891" s="70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65"/>
      <c r="AO891" s="56"/>
      <c r="AP891" s="56"/>
      <c r="AQ891" s="56"/>
      <c r="AR891" s="56"/>
    </row>
    <row r="892">
      <c r="A892" s="65"/>
      <c r="B892" s="65"/>
      <c r="C892" s="65"/>
      <c r="D892" s="65"/>
      <c r="E892" s="65"/>
      <c r="F892" s="65"/>
      <c r="G892" s="65"/>
      <c r="H892" s="65"/>
      <c r="I892" s="69"/>
      <c r="J892" s="70"/>
      <c r="K892" s="70"/>
      <c r="L892" s="69"/>
      <c r="M892" s="70"/>
      <c r="N892" s="70"/>
      <c r="O892" s="70"/>
      <c r="P892" s="70"/>
      <c r="Q892" s="70"/>
      <c r="R892" s="70"/>
      <c r="S892" s="70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65"/>
      <c r="AO892" s="56"/>
      <c r="AP892" s="56"/>
      <c r="AQ892" s="56"/>
      <c r="AR892" s="56"/>
    </row>
    <row r="893">
      <c r="A893" s="65"/>
      <c r="B893" s="65"/>
      <c r="C893" s="65"/>
      <c r="D893" s="65"/>
      <c r="E893" s="65"/>
      <c r="F893" s="65"/>
      <c r="G893" s="65"/>
      <c r="H893" s="65"/>
      <c r="I893" s="69"/>
      <c r="J893" s="70"/>
      <c r="K893" s="70"/>
      <c r="L893" s="69"/>
      <c r="M893" s="70"/>
      <c r="N893" s="70"/>
      <c r="O893" s="70"/>
      <c r="P893" s="70"/>
      <c r="Q893" s="70"/>
      <c r="R893" s="70"/>
      <c r="S893" s="70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65"/>
      <c r="AO893" s="56"/>
      <c r="AP893" s="56"/>
      <c r="AQ893" s="56"/>
      <c r="AR893" s="56"/>
    </row>
    <row r="894">
      <c r="A894" s="65"/>
      <c r="B894" s="65"/>
      <c r="C894" s="65"/>
      <c r="D894" s="65"/>
      <c r="E894" s="65"/>
      <c r="F894" s="65"/>
      <c r="G894" s="65"/>
      <c r="H894" s="65"/>
      <c r="I894" s="69"/>
      <c r="J894" s="70"/>
      <c r="K894" s="70"/>
      <c r="L894" s="69"/>
      <c r="M894" s="70"/>
      <c r="N894" s="70"/>
      <c r="O894" s="70"/>
      <c r="P894" s="70"/>
      <c r="Q894" s="70"/>
      <c r="R894" s="70"/>
      <c r="S894" s="70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65"/>
      <c r="AO894" s="56"/>
      <c r="AP894" s="56"/>
      <c r="AQ894" s="56"/>
      <c r="AR894" s="56"/>
    </row>
    <row r="895">
      <c r="A895" s="65"/>
      <c r="B895" s="65"/>
      <c r="C895" s="65"/>
      <c r="D895" s="65"/>
      <c r="E895" s="65"/>
      <c r="F895" s="65"/>
      <c r="G895" s="65"/>
      <c r="H895" s="65"/>
      <c r="I895" s="69"/>
      <c r="J895" s="70"/>
      <c r="K895" s="70"/>
      <c r="L895" s="69"/>
      <c r="M895" s="70"/>
      <c r="N895" s="70"/>
      <c r="O895" s="70"/>
      <c r="P895" s="70"/>
      <c r="Q895" s="70"/>
      <c r="R895" s="70"/>
      <c r="S895" s="70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65"/>
      <c r="AO895" s="56"/>
      <c r="AP895" s="56"/>
      <c r="AQ895" s="56"/>
      <c r="AR895" s="56"/>
    </row>
    <row r="896">
      <c r="A896" s="65"/>
      <c r="B896" s="65"/>
      <c r="C896" s="65"/>
      <c r="D896" s="65"/>
      <c r="E896" s="65"/>
      <c r="F896" s="65"/>
      <c r="G896" s="65"/>
      <c r="H896" s="65"/>
      <c r="I896" s="69"/>
      <c r="J896" s="70"/>
      <c r="K896" s="70"/>
      <c r="L896" s="69"/>
      <c r="M896" s="70"/>
      <c r="N896" s="70"/>
      <c r="O896" s="70"/>
      <c r="P896" s="70"/>
      <c r="Q896" s="70"/>
      <c r="R896" s="70"/>
      <c r="S896" s="70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65"/>
      <c r="AO896" s="56"/>
      <c r="AP896" s="56"/>
      <c r="AQ896" s="56"/>
      <c r="AR896" s="56"/>
    </row>
    <row r="897">
      <c r="A897" s="65"/>
      <c r="B897" s="65"/>
      <c r="C897" s="65"/>
      <c r="D897" s="65"/>
      <c r="E897" s="65"/>
      <c r="F897" s="65"/>
      <c r="G897" s="65"/>
      <c r="H897" s="65"/>
      <c r="I897" s="69"/>
      <c r="J897" s="70"/>
      <c r="K897" s="70"/>
      <c r="L897" s="69"/>
      <c r="M897" s="70"/>
      <c r="N897" s="70"/>
      <c r="O897" s="70"/>
      <c r="P897" s="70"/>
      <c r="Q897" s="70"/>
      <c r="R897" s="70"/>
      <c r="S897" s="70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65"/>
      <c r="AO897" s="56"/>
      <c r="AP897" s="56"/>
      <c r="AQ897" s="56"/>
      <c r="AR897" s="56"/>
    </row>
    <row r="898">
      <c r="A898" s="65"/>
      <c r="B898" s="65"/>
      <c r="C898" s="65"/>
      <c r="D898" s="65"/>
      <c r="E898" s="65"/>
      <c r="F898" s="65"/>
      <c r="G898" s="65"/>
      <c r="H898" s="65"/>
      <c r="I898" s="69"/>
      <c r="J898" s="70"/>
      <c r="K898" s="70"/>
      <c r="L898" s="69"/>
      <c r="M898" s="70"/>
      <c r="N898" s="70"/>
      <c r="O898" s="70"/>
      <c r="P898" s="70"/>
      <c r="Q898" s="70"/>
      <c r="R898" s="70"/>
      <c r="S898" s="70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65"/>
      <c r="AO898" s="56"/>
      <c r="AP898" s="56"/>
      <c r="AQ898" s="56"/>
      <c r="AR898" s="56"/>
    </row>
    <row r="899">
      <c r="A899" s="65"/>
      <c r="B899" s="65"/>
      <c r="C899" s="65"/>
      <c r="D899" s="65"/>
      <c r="E899" s="65"/>
      <c r="F899" s="65"/>
      <c r="G899" s="65"/>
      <c r="H899" s="65"/>
      <c r="I899" s="69"/>
      <c r="J899" s="70"/>
      <c r="K899" s="70"/>
      <c r="L899" s="69"/>
      <c r="M899" s="70"/>
      <c r="N899" s="70"/>
      <c r="O899" s="70"/>
      <c r="P899" s="70"/>
      <c r="Q899" s="70"/>
      <c r="R899" s="70"/>
      <c r="S899" s="70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65"/>
      <c r="AO899" s="56"/>
      <c r="AP899" s="56"/>
      <c r="AQ899" s="56"/>
      <c r="AR899" s="56"/>
    </row>
    <row r="900">
      <c r="A900" s="65"/>
      <c r="B900" s="65"/>
      <c r="C900" s="65"/>
      <c r="D900" s="65"/>
      <c r="E900" s="65"/>
      <c r="F900" s="65"/>
      <c r="G900" s="65"/>
      <c r="H900" s="65"/>
      <c r="I900" s="69"/>
      <c r="J900" s="70"/>
      <c r="K900" s="70"/>
      <c r="L900" s="69"/>
      <c r="M900" s="70"/>
      <c r="N900" s="70"/>
      <c r="O900" s="70"/>
      <c r="P900" s="70"/>
      <c r="Q900" s="70"/>
      <c r="R900" s="70"/>
      <c r="S900" s="70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65"/>
      <c r="AO900" s="56"/>
      <c r="AP900" s="56"/>
      <c r="AQ900" s="56"/>
      <c r="AR900" s="56"/>
    </row>
    <row r="901">
      <c r="A901" s="65"/>
      <c r="B901" s="65"/>
      <c r="C901" s="65"/>
      <c r="D901" s="65"/>
      <c r="E901" s="65"/>
      <c r="F901" s="65"/>
      <c r="G901" s="65"/>
      <c r="H901" s="65"/>
      <c r="I901" s="69"/>
      <c r="J901" s="70"/>
      <c r="K901" s="70"/>
      <c r="L901" s="69"/>
      <c r="M901" s="70"/>
      <c r="N901" s="70"/>
      <c r="O901" s="70"/>
      <c r="P901" s="70"/>
      <c r="Q901" s="70"/>
      <c r="R901" s="70"/>
      <c r="S901" s="70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65"/>
      <c r="AO901" s="56"/>
      <c r="AP901" s="56"/>
      <c r="AQ901" s="56"/>
      <c r="AR901" s="56"/>
    </row>
    <row r="902">
      <c r="A902" s="65"/>
      <c r="B902" s="65"/>
      <c r="C902" s="65"/>
      <c r="D902" s="65"/>
      <c r="E902" s="65"/>
      <c r="F902" s="65"/>
      <c r="G902" s="65"/>
      <c r="H902" s="65"/>
      <c r="I902" s="69"/>
      <c r="J902" s="70"/>
      <c r="K902" s="70"/>
      <c r="L902" s="69"/>
      <c r="M902" s="70"/>
      <c r="N902" s="70"/>
      <c r="O902" s="70"/>
      <c r="P902" s="70"/>
      <c r="Q902" s="70"/>
      <c r="R902" s="70"/>
      <c r="S902" s="70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65"/>
      <c r="AO902" s="56"/>
      <c r="AP902" s="56"/>
      <c r="AQ902" s="56"/>
      <c r="AR902" s="56"/>
    </row>
    <row r="903">
      <c r="A903" s="65"/>
      <c r="B903" s="65"/>
      <c r="C903" s="65"/>
      <c r="D903" s="65"/>
      <c r="E903" s="65"/>
      <c r="F903" s="65"/>
      <c r="G903" s="65"/>
      <c r="H903" s="65"/>
      <c r="I903" s="69"/>
      <c r="J903" s="70"/>
      <c r="K903" s="70"/>
      <c r="L903" s="69"/>
      <c r="M903" s="70"/>
      <c r="N903" s="70"/>
      <c r="O903" s="70"/>
      <c r="P903" s="70"/>
      <c r="Q903" s="70"/>
      <c r="R903" s="70"/>
      <c r="S903" s="70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65"/>
      <c r="AO903" s="56"/>
      <c r="AP903" s="56"/>
      <c r="AQ903" s="56"/>
      <c r="AR903" s="56"/>
    </row>
    <row r="904">
      <c r="A904" s="65"/>
      <c r="B904" s="65"/>
      <c r="C904" s="65"/>
      <c r="D904" s="65"/>
      <c r="E904" s="65"/>
      <c r="F904" s="65"/>
      <c r="G904" s="65"/>
      <c r="H904" s="65"/>
      <c r="I904" s="69"/>
      <c r="J904" s="70"/>
      <c r="K904" s="70"/>
      <c r="L904" s="69"/>
      <c r="M904" s="70"/>
      <c r="N904" s="70"/>
      <c r="O904" s="70"/>
      <c r="P904" s="70"/>
      <c r="Q904" s="70"/>
      <c r="R904" s="70"/>
      <c r="S904" s="70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65"/>
      <c r="AO904" s="56"/>
      <c r="AP904" s="56"/>
      <c r="AQ904" s="56"/>
      <c r="AR904" s="56"/>
    </row>
    <row r="905">
      <c r="A905" s="65"/>
      <c r="B905" s="65"/>
      <c r="C905" s="65"/>
      <c r="D905" s="65"/>
      <c r="E905" s="65"/>
      <c r="F905" s="65"/>
      <c r="G905" s="65"/>
      <c r="H905" s="65"/>
      <c r="I905" s="69"/>
      <c r="J905" s="70"/>
      <c r="K905" s="70"/>
      <c r="L905" s="69"/>
      <c r="M905" s="70"/>
      <c r="N905" s="70"/>
      <c r="O905" s="70"/>
      <c r="P905" s="70"/>
      <c r="Q905" s="70"/>
      <c r="R905" s="70"/>
      <c r="S905" s="70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65"/>
      <c r="AO905" s="56"/>
      <c r="AP905" s="56"/>
      <c r="AQ905" s="56"/>
      <c r="AR905" s="56"/>
    </row>
    <row r="906">
      <c r="A906" s="65"/>
      <c r="B906" s="65"/>
      <c r="C906" s="65"/>
      <c r="D906" s="65"/>
      <c r="E906" s="65"/>
      <c r="F906" s="65"/>
      <c r="G906" s="65"/>
      <c r="H906" s="65"/>
      <c r="I906" s="69"/>
      <c r="J906" s="70"/>
      <c r="K906" s="70"/>
      <c r="L906" s="69"/>
      <c r="M906" s="70"/>
      <c r="N906" s="70"/>
      <c r="O906" s="70"/>
      <c r="P906" s="70"/>
      <c r="Q906" s="70"/>
      <c r="R906" s="70"/>
      <c r="S906" s="70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65"/>
      <c r="AO906" s="56"/>
      <c r="AP906" s="56"/>
      <c r="AQ906" s="56"/>
      <c r="AR906" s="56"/>
    </row>
    <row r="907">
      <c r="A907" s="65"/>
      <c r="B907" s="65"/>
      <c r="C907" s="65"/>
      <c r="D907" s="65"/>
      <c r="E907" s="65"/>
      <c r="F907" s="65"/>
      <c r="G907" s="65"/>
      <c r="H907" s="65"/>
      <c r="I907" s="69"/>
      <c r="J907" s="70"/>
      <c r="K907" s="70"/>
      <c r="L907" s="69"/>
      <c r="M907" s="70"/>
      <c r="N907" s="70"/>
      <c r="O907" s="70"/>
      <c r="P907" s="70"/>
      <c r="Q907" s="70"/>
      <c r="R907" s="70"/>
      <c r="S907" s="70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65"/>
      <c r="AO907" s="56"/>
      <c r="AP907" s="56"/>
      <c r="AQ907" s="56"/>
      <c r="AR907" s="56"/>
    </row>
    <row r="908">
      <c r="A908" s="65"/>
      <c r="B908" s="65"/>
      <c r="C908" s="65"/>
      <c r="D908" s="65"/>
      <c r="E908" s="65"/>
      <c r="F908" s="65"/>
      <c r="G908" s="65"/>
      <c r="H908" s="65"/>
      <c r="I908" s="69"/>
      <c r="J908" s="70"/>
      <c r="K908" s="70"/>
      <c r="L908" s="69"/>
      <c r="M908" s="70"/>
      <c r="N908" s="70"/>
      <c r="O908" s="70"/>
      <c r="P908" s="70"/>
      <c r="Q908" s="70"/>
      <c r="R908" s="70"/>
      <c r="S908" s="70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65"/>
      <c r="AO908" s="56"/>
      <c r="AP908" s="56"/>
      <c r="AQ908" s="56"/>
      <c r="AR908" s="56"/>
    </row>
    <row r="909">
      <c r="A909" s="65"/>
      <c r="B909" s="65"/>
      <c r="C909" s="65"/>
      <c r="D909" s="65"/>
      <c r="E909" s="65"/>
      <c r="F909" s="65"/>
      <c r="G909" s="65"/>
      <c r="H909" s="65"/>
      <c r="I909" s="69"/>
      <c r="J909" s="70"/>
      <c r="K909" s="70"/>
      <c r="L909" s="69"/>
      <c r="M909" s="70"/>
      <c r="N909" s="70"/>
      <c r="O909" s="70"/>
      <c r="P909" s="70"/>
      <c r="Q909" s="70"/>
      <c r="R909" s="70"/>
      <c r="S909" s="70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65"/>
      <c r="AO909" s="56"/>
      <c r="AP909" s="56"/>
      <c r="AQ909" s="56"/>
      <c r="AR909" s="56"/>
    </row>
    <row r="910">
      <c r="A910" s="65"/>
      <c r="B910" s="65"/>
      <c r="C910" s="65"/>
      <c r="D910" s="65"/>
      <c r="E910" s="65"/>
      <c r="F910" s="65"/>
      <c r="G910" s="65"/>
      <c r="H910" s="65"/>
      <c r="I910" s="69"/>
      <c r="J910" s="70"/>
      <c r="K910" s="70"/>
      <c r="L910" s="69"/>
      <c r="M910" s="70"/>
      <c r="N910" s="70"/>
      <c r="O910" s="70"/>
      <c r="P910" s="70"/>
      <c r="Q910" s="70"/>
      <c r="R910" s="70"/>
      <c r="S910" s="70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65"/>
      <c r="AO910" s="56"/>
      <c r="AP910" s="56"/>
      <c r="AQ910" s="56"/>
      <c r="AR910" s="56"/>
    </row>
    <row r="911">
      <c r="A911" s="65"/>
      <c r="B911" s="65"/>
      <c r="C911" s="65"/>
      <c r="D911" s="65"/>
      <c r="E911" s="65"/>
      <c r="F911" s="65"/>
      <c r="G911" s="65"/>
      <c r="H911" s="65"/>
      <c r="I911" s="69"/>
      <c r="J911" s="70"/>
      <c r="K911" s="70"/>
      <c r="L911" s="69"/>
      <c r="M911" s="70"/>
      <c r="N911" s="70"/>
      <c r="O911" s="70"/>
      <c r="P911" s="70"/>
      <c r="Q911" s="70"/>
      <c r="R911" s="70"/>
      <c r="S911" s="70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65"/>
      <c r="AO911" s="56"/>
      <c r="AP911" s="56"/>
      <c r="AQ911" s="56"/>
      <c r="AR911" s="56"/>
    </row>
    <row r="912">
      <c r="A912" s="65"/>
      <c r="B912" s="65"/>
      <c r="C912" s="65"/>
      <c r="D912" s="65"/>
      <c r="E912" s="65"/>
      <c r="F912" s="65"/>
      <c r="G912" s="65"/>
      <c r="H912" s="65"/>
      <c r="I912" s="69"/>
      <c r="J912" s="70"/>
      <c r="K912" s="70"/>
      <c r="L912" s="69"/>
      <c r="M912" s="70"/>
      <c r="N912" s="70"/>
      <c r="O912" s="70"/>
      <c r="P912" s="70"/>
      <c r="Q912" s="70"/>
      <c r="R912" s="70"/>
      <c r="S912" s="70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65"/>
      <c r="AO912" s="56"/>
      <c r="AP912" s="56"/>
      <c r="AQ912" s="56"/>
      <c r="AR912" s="56"/>
    </row>
    <row r="913">
      <c r="A913" s="65"/>
      <c r="B913" s="65"/>
      <c r="C913" s="65"/>
      <c r="D913" s="65"/>
      <c r="E913" s="65"/>
      <c r="F913" s="65"/>
      <c r="G913" s="65"/>
      <c r="H913" s="65"/>
      <c r="I913" s="69"/>
      <c r="J913" s="70"/>
      <c r="K913" s="70"/>
      <c r="L913" s="69"/>
      <c r="M913" s="70"/>
      <c r="N913" s="70"/>
      <c r="O913" s="70"/>
      <c r="P913" s="70"/>
      <c r="Q913" s="70"/>
      <c r="R913" s="70"/>
      <c r="S913" s="70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65"/>
      <c r="AO913" s="56"/>
      <c r="AP913" s="56"/>
      <c r="AQ913" s="56"/>
      <c r="AR913" s="56"/>
    </row>
    <row r="914">
      <c r="A914" s="65"/>
      <c r="B914" s="65"/>
      <c r="C914" s="65"/>
      <c r="D914" s="65"/>
      <c r="E914" s="65"/>
      <c r="F914" s="65"/>
      <c r="G914" s="65"/>
      <c r="H914" s="65"/>
      <c r="I914" s="69"/>
      <c r="J914" s="70"/>
      <c r="K914" s="70"/>
      <c r="L914" s="69"/>
      <c r="M914" s="70"/>
      <c r="N914" s="70"/>
      <c r="O914" s="70"/>
      <c r="P914" s="70"/>
      <c r="Q914" s="70"/>
      <c r="R914" s="70"/>
      <c r="S914" s="70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65"/>
      <c r="AO914" s="56"/>
      <c r="AP914" s="56"/>
      <c r="AQ914" s="56"/>
      <c r="AR914" s="56"/>
    </row>
    <row r="915">
      <c r="A915" s="65"/>
      <c r="B915" s="65"/>
      <c r="C915" s="65"/>
      <c r="D915" s="65"/>
      <c r="E915" s="65"/>
      <c r="F915" s="65"/>
      <c r="G915" s="65"/>
      <c r="H915" s="65"/>
      <c r="I915" s="69"/>
      <c r="J915" s="70"/>
      <c r="K915" s="70"/>
      <c r="L915" s="69"/>
      <c r="M915" s="70"/>
      <c r="N915" s="70"/>
      <c r="O915" s="70"/>
      <c r="P915" s="70"/>
      <c r="Q915" s="70"/>
      <c r="R915" s="70"/>
      <c r="S915" s="70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65"/>
      <c r="AO915" s="56"/>
      <c r="AP915" s="56"/>
      <c r="AQ915" s="56"/>
      <c r="AR915" s="56"/>
    </row>
    <row r="916">
      <c r="A916" s="65"/>
      <c r="B916" s="65"/>
      <c r="C916" s="65"/>
      <c r="D916" s="65"/>
      <c r="E916" s="65"/>
      <c r="F916" s="65"/>
      <c r="G916" s="65"/>
      <c r="H916" s="65"/>
      <c r="I916" s="69"/>
      <c r="J916" s="70"/>
      <c r="K916" s="70"/>
      <c r="L916" s="69"/>
      <c r="M916" s="70"/>
      <c r="N916" s="70"/>
      <c r="O916" s="70"/>
      <c r="P916" s="70"/>
      <c r="Q916" s="70"/>
      <c r="R916" s="70"/>
      <c r="S916" s="70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65"/>
      <c r="AO916" s="56"/>
      <c r="AP916" s="56"/>
      <c r="AQ916" s="56"/>
      <c r="AR916" s="56"/>
    </row>
    <row r="917">
      <c r="A917" s="65"/>
      <c r="B917" s="65"/>
      <c r="C917" s="65"/>
      <c r="D917" s="65"/>
      <c r="E917" s="65"/>
      <c r="F917" s="65"/>
      <c r="G917" s="65"/>
      <c r="H917" s="65"/>
      <c r="I917" s="69"/>
      <c r="J917" s="70"/>
      <c r="K917" s="70"/>
      <c r="L917" s="69"/>
      <c r="M917" s="70"/>
      <c r="N917" s="70"/>
      <c r="O917" s="70"/>
      <c r="P917" s="70"/>
      <c r="Q917" s="70"/>
      <c r="R917" s="70"/>
      <c r="S917" s="70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65"/>
      <c r="AO917" s="56"/>
      <c r="AP917" s="56"/>
      <c r="AQ917" s="56"/>
      <c r="AR917" s="56"/>
    </row>
    <row r="918">
      <c r="A918" s="65"/>
      <c r="B918" s="65"/>
      <c r="C918" s="65"/>
      <c r="D918" s="65"/>
      <c r="E918" s="65"/>
      <c r="F918" s="65"/>
      <c r="G918" s="65"/>
      <c r="H918" s="65"/>
      <c r="I918" s="69"/>
      <c r="J918" s="70"/>
      <c r="K918" s="70"/>
      <c r="L918" s="69"/>
      <c r="M918" s="70"/>
      <c r="N918" s="70"/>
      <c r="O918" s="70"/>
      <c r="P918" s="70"/>
      <c r="Q918" s="70"/>
      <c r="R918" s="70"/>
      <c r="S918" s="70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65"/>
      <c r="AO918" s="56"/>
      <c r="AP918" s="56"/>
      <c r="AQ918" s="56"/>
      <c r="AR918" s="56"/>
    </row>
    <row r="919">
      <c r="A919" s="65"/>
      <c r="B919" s="65"/>
      <c r="C919" s="65"/>
      <c r="D919" s="65"/>
      <c r="E919" s="65"/>
      <c r="F919" s="65"/>
      <c r="G919" s="65"/>
      <c r="H919" s="65"/>
      <c r="I919" s="69"/>
      <c r="J919" s="70"/>
      <c r="K919" s="70"/>
      <c r="L919" s="69"/>
      <c r="M919" s="70"/>
      <c r="N919" s="70"/>
      <c r="O919" s="70"/>
      <c r="P919" s="70"/>
      <c r="Q919" s="70"/>
      <c r="R919" s="70"/>
      <c r="S919" s="70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65"/>
      <c r="AO919" s="56"/>
      <c r="AP919" s="56"/>
      <c r="AQ919" s="56"/>
      <c r="AR919" s="56"/>
    </row>
    <row r="920">
      <c r="A920" s="65"/>
      <c r="B920" s="65"/>
      <c r="C920" s="65"/>
      <c r="D920" s="65"/>
      <c r="E920" s="65"/>
      <c r="F920" s="65"/>
      <c r="G920" s="65"/>
      <c r="H920" s="65"/>
      <c r="I920" s="69"/>
      <c r="J920" s="70"/>
      <c r="K920" s="70"/>
      <c r="L920" s="69"/>
      <c r="M920" s="70"/>
      <c r="N920" s="70"/>
      <c r="O920" s="70"/>
      <c r="P920" s="70"/>
      <c r="Q920" s="70"/>
      <c r="R920" s="70"/>
      <c r="S920" s="70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65"/>
      <c r="AO920" s="56"/>
      <c r="AP920" s="56"/>
      <c r="AQ920" s="56"/>
      <c r="AR920" s="56"/>
    </row>
    <row r="921">
      <c r="A921" s="65"/>
      <c r="B921" s="65"/>
      <c r="C921" s="65"/>
      <c r="D921" s="65"/>
      <c r="E921" s="65"/>
      <c r="F921" s="65"/>
      <c r="G921" s="65"/>
      <c r="H921" s="65"/>
      <c r="I921" s="69"/>
      <c r="J921" s="70"/>
      <c r="K921" s="70"/>
      <c r="L921" s="69"/>
      <c r="M921" s="70"/>
      <c r="N921" s="70"/>
      <c r="O921" s="70"/>
      <c r="P921" s="70"/>
      <c r="Q921" s="70"/>
      <c r="R921" s="70"/>
      <c r="S921" s="70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65"/>
      <c r="AO921" s="56"/>
      <c r="AP921" s="56"/>
      <c r="AQ921" s="56"/>
      <c r="AR921" s="56"/>
    </row>
    <row r="922">
      <c r="A922" s="65"/>
      <c r="B922" s="65"/>
      <c r="C922" s="65"/>
      <c r="D922" s="65"/>
      <c r="E922" s="65"/>
      <c r="F922" s="65"/>
      <c r="G922" s="65"/>
      <c r="H922" s="65"/>
      <c r="I922" s="69"/>
      <c r="J922" s="70"/>
      <c r="K922" s="70"/>
      <c r="L922" s="69"/>
      <c r="M922" s="70"/>
      <c r="N922" s="70"/>
      <c r="O922" s="70"/>
      <c r="P922" s="70"/>
      <c r="Q922" s="70"/>
      <c r="R922" s="70"/>
      <c r="S922" s="70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65"/>
      <c r="AO922" s="56"/>
      <c r="AP922" s="56"/>
      <c r="AQ922" s="56"/>
      <c r="AR922" s="56"/>
    </row>
    <row r="923">
      <c r="A923" s="65"/>
      <c r="B923" s="65"/>
      <c r="C923" s="65"/>
      <c r="D923" s="65"/>
      <c r="E923" s="65"/>
      <c r="F923" s="65"/>
      <c r="G923" s="65"/>
      <c r="H923" s="65"/>
      <c r="I923" s="69"/>
      <c r="J923" s="70"/>
      <c r="K923" s="70"/>
      <c r="L923" s="69"/>
      <c r="M923" s="70"/>
      <c r="N923" s="70"/>
      <c r="O923" s="70"/>
      <c r="P923" s="70"/>
      <c r="Q923" s="70"/>
      <c r="R923" s="70"/>
      <c r="S923" s="70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65"/>
      <c r="AO923" s="56"/>
      <c r="AP923" s="56"/>
      <c r="AQ923" s="56"/>
      <c r="AR923" s="56"/>
    </row>
    <row r="924">
      <c r="A924" s="65"/>
      <c r="B924" s="65"/>
      <c r="C924" s="65"/>
      <c r="D924" s="65"/>
      <c r="E924" s="65"/>
      <c r="F924" s="65"/>
      <c r="G924" s="65"/>
      <c r="H924" s="65"/>
      <c r="I924" s="69"/>
      <c r="J924" s="70"/>
      <c r="K924" s="70"/>
      <c r="L924" s="69"/>
      <c r="M924" s="70"/>
      <c r="N924" s="70"/>
      <c r="O924" s="70"/>
      <c r="P924" s="70"/>
      <c r="Q924" s="70"/>
      <c r="R924" s="70"/>
      <c r="S924" s="70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65"/>
      <c r="AO924" s="56"/>
      <c r="AP924" s="56"/>
      <c r="AQ924" s="56"/>
      <c r="AR924" s="56"/>
    </row>
    <row r="925">
      <c r="A925" s="65"/>
      <c r="B925" s="65"/>
      <c r="C925" s="65"/>
      <c r="D925" s="65"/>
      <c r="E925" s="65"/>
      <c r="F925" s="65"/>
      <c r="G925" s="65"/>
      <c r="H925" s="65"/>
      <c r="I925" s="69"/>
      <c r="J925" s="70"/>
      <c r="K925" s="70"/>
      <c r="L925" s="69"/>
      <c r="M925" s="70"/>
      <c r="N925" s="70"/>
      <c r="O925" s="70"/>
      <c r="P925" s="70"/>
      <c r="Q925" s="70"/>
      <c r="R925" s="70"/>
      <c r="S925" s="70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65"/>
      <c r="AO925" s="56"/>
      <c r="AP925" s="56"/>
      <c r="AQ925" s="56"/>
      <c r="AR925" s="56"/>
    </row>
    <row r="926">
      <c r="A926" s="65"/>
      <c r="B926" s="65"/>
      <c r="C926" s="65"/>
      <c r="D926" s="65"/>
      <c r="E926" s="65"/>
      <c r="F926" s="65"/>
      <c r="G926" s="65"/>
      <c r="H926" s="65"/>
      <c r="I926" s="69"/>
      <c r="J926" s="70"/>
      <c r="K926" s="70"/>
      <c r="L926" s="69"/>
      <c r="M926" s="70"/>
      <c r="N926" s="70"/>
      <c r="O926" s="70"/>
      <c r="P926" s="70"/>
      <c r="Q926" s="70"/>
      <c r="R926" s="70"/>
      <c r="S926" s="70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65"/>
      <c r="AO926" s="56"/>
      <c r="AP926" s="56"/>
      <c r="AQ926" s="56"/>
      <c r="AR926" s="56"/>
    </row>
    <row r="927">
      <c r="A927" s="65"/>
      <c r="B927" s="65"/>
      <c r="C927" s="65"/>
      <c r="D927" s="65"/>
      <c r="E927" s="65"/>
      <c r="F927" s="65"/>
      <c r="G927" s="65"/>
      <c r="H927" s="65"/>
      <c r="I927" s="69"/>
      <c r="J927" s="70"/>
      <c r="K927" s="70"/>
      <c r="L927" s="69"/>
      <c r="M927" s="70"/>
      <c r="N927" s="70"/>
      <c r="O927" s="70"/>
      <c r="P927" s="70"/>
      <c r="Q927" s="70"/>
      <c r="R927" s="70"/>
      <c r="S927" s="70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65"/>
      <c r="AO927" s="56"/>
      <c r="AP927" s="56"/>
      <c r="AQ927" s="56"/>
      <c r="AR927" s="56"/>
    </row>
    <row r="928">
      <c r="A928" s="65"/>
      <c r="B928" s="65"/>
      <c r="C928" s="65"/>
      <c r="D928" s="65"/>
      <c r="E928" s="65"/>
      <c r="F928" s="65"/>
      <c r="G928" s="65"/>
      <c r="H928" s="65"/>
      <c r="I928" s="69"/>
      <c r="J928" s="70"/>
      <c r="K928" s="70"/>
      <c r="L928" s="69"/>
      <c r="M928" s="70"/>
      <c r="N928" s="70"/>
      <c r="O928" s="70"/>
      <c r="P928" s="70"/>
      <c r="Q928" s="70"/>
      <c r="R928" s="70"/>
      <c r="S928" s="70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65"/>
      <c r="AO928" s="56"/>
      <c r="AP928" s="56"/>
      <c r="AQ928" s="56"/>
      <c r="AR928" s="56"/>
    </row>
    <row r="929">
      <c r="A929" s="65"/>
      <c r="B929" s="65"/>
      <c r="C929" s="65"/>
      <c r="D929" s="65"/>
      <c r="E929" s="65"/>
      <c r="F929" s="65"/>
      <c r="G929" s="65"/>
      <c r="H929" s="65"/>
      <c r="I929" s="69"/>
      <c r="J929" s="70"/>
      <c r="K929" s="70"/>
      <c r="L929" s="69"/>
      <c r="M929" s="70"/>
      <c r="N929" s="70"/>
      <c r="O929" s="70"/>
      <c r="P929" s="70"/>
      <c r="Q929" s="70"/>
      <c r="R929" s="70"/>
      <c r="S929" s="70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65"/>
      <c r="AO929" s="56"/>
      <c r="AP929" s="56"/>
      <c r="AQ929" s="56"/>
      <c r="AR929" s="56"/>
    </row>
    <row r="930">
      <c r="A930" s="65"/>
      <c r="B930" s="65"/>
      <c r="C930" s="65"/>
      <c r="D930" s="65"/>
      <c r="E930" s="65"/>
      <c r="F930" s="65"/>
      <c r="G930" s="65"/>
      <c r="H930" s="65"/>
      <c r="I930" s="69"/>
      <c r="J930" s="70"/>
      <c r="K930" s="70"/>
      <c r="L930" s="69"/>
      <c r="M930" s="70"/>
      <c r="N930" s="70"/>
      <c r="O930" s="70"/>
      <c r="P930" s="70"/>
      <c r="Q930" s="70"/>
      <c r="R930" s="70"/>
      <c r="S930" s="70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65"/>
      <c r="AO930" s="56"/>
      <c r="AP930" s="56"/>
      <c r="AQ930" s="56"/>
      <c r="AR930" s="56"/>
    </row>
    <row r="931">
      <c r="A931" s="65"/>
      <c r="B931" s="65"/>
      <c r="C931" s="65"/>
      <c r="D931" s="65"/>
      <c r="E931" s="65"/>
      <c r="F931" s="65"/>
      <c r="G931" s="65"/>
      <c r="H931" s="65"/>
      <c r="I931" s="69"/>
      <c r="J931" s="70"/>
      <c r="K931" s="70"/>
      <c r="L931" s="69"/>
      <c r="M931" s="70"/>
      <c r="N931" s="70"/>
      <c r="O931" s="70"/>
      <c r="P931" s="70"/>
      <c r="Q931" s="70"/>
      <c r="R931" s="70"/>
      <c r="S931" s="70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65"/>
      <c r="AO931" s="56"/>
      <c r="AP931" s="56"/>
      <c r="AQ931" s="56"/>
      <c r="AR931" s="56"/>
    </row>
    <row r="932">
      <c r="A932" s="65"/>
      <c r="B932" s="65"/>
      <c r="C932" s="65"/>
      <c r="D932" s="65"/>
      <c r="E932" s="65"/>
      <c r="F932" s="65"/>
      <c r="G932" s="65"/>
      <c r="H932" s="65"/>
      <c r="I932" s="69"/>
      <c r="J932" s="70"/>
      <c r="K932" s="70"/>
      <c r="L932" s="69"/>
      <c r="M932" s="70"/>
      <c r="N932" s="70"/>
      <c r="O932" s="70"/>
      <c r="P932" s="70"/>
      <c r="Q932" s="70"/>
      <c r="R932" s="70"/>
      <c r="S932" s="70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65"/>
      <c r="AO932" s="56"/>
      <c r="AP932" s="56"/>
      <c r="AQ932" s="56"/>
      <c r="AR932" s="56"/>
    </row>
    <row r="933">
      <c r="A933" s="65"/>
      <c r="B933" s="65"/>
      <c r="C933" s="65"/>
      <c r="D933" s="65"/>
      <c r="E933" s="65"/>
      <c r="F933" s="65"/>
      <c r="G933" s="65"/>
      <c r="H933" s="65"/>
      <c r="I933" s="69"/>
      <c r="J933" s="70"/>
      <c r="K933" s="70"/>
      <c r="L933" s="69"/>
      <c r="M933" s="70"/>
      <c r="N933" s="70"/>
      <c r="O933" s="70"/>
      <c r="P933" s="70"/>
      <c r="Q933" s="70"/>
      <c r="R933" s="70"/>
      <c r="S933" s="70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65"/>
      <c r="AO933" s="56"/>
      <c r="AP933" s="56"/>
      <c r="AQ933" s="56"/>
      <c r="AR933" s="56"/>
    </row>
    <row r="934">
      <c r="A934" s="65"/>
      <c r="B934" s="65"/>
      <c r="C934" s="65"/>
      <c r="D934" s="65"/>
      <c r="E934" s="65"/>
      <c r="F934" s="65"/>
      <c r="G934" s="65"/>
      <c r="H934" s="65"/>
      <c r="I934" s="69"/>
      <c r="J934" s="70"/>
      <c r="K934" s="70"/>
      <c r="L934" s="69"/>
      <c r="M934" s="70"/>
      <c r="N934" s="70"/>
      <c r="O934" s="70"/>
      <c r="P934" s="70"/>
      <c r="Q934" s="70"/>
      <c r="R934" s="70"/>
      <c r="S934" s="70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65"/>
      <c r="AO934" s="56"/>
      <c r="AP934" s="56"/>
      <c r="AQ934" s="56"/>
      <c r="AR934" s="56"/>
    </row>
    <row r="935">
      <c r="A935" s="65"/>
      <c r="B935" s="65"/>
      <c r="C935" s="65"/>
      <c r="D935" s="65"/>
      <c r="E935" s="65"/>
      <c r="F935" s="65"/>
      <c r="G935" s="65"/>
      <c r="H935" s="65"/>
      <c r="I935" s="69"/>
      <c r="J935" s="70"/>
      <c r="K935" s="70"/>
      <c r="L935" s="69"/>
      <c r="M935" s="70"/>
      <c r="N935" s="70"/>
      <c r="O935" s="70"/>
      <c r="P935" s="70"/>
      <c r="Q935" s="70"/>
      <c r="R935" s="70"/>
      <c r="S935" s="70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65"/>
      <c r="AO935" s="56"/>
      <c r="AP935" s="56"/>
      <c r="AQ935" s="56"/>
      <c r="AR935" s="56"/>
    </row>
    <row r="936">
      <c r="A936" s="65"/>
      <c r="B936" s="65"/>
      <c r="C936" s="65"/>
      <c r="D936" s="65"/>
      <c r="E936" s="65"/>
      <c r="F936" s="65"/>
      <c r="G936" s="65"/>
      <c r="H936" s="65"/>
      <c r="I936" s="69"/>
      <c r="J936" s="70"/>
      <c r="K936" s="70"/>
      <c r="L936" s="69"/>
      <c r="M936" s="70"/>
      <c r="N936" s="70"/>
      <c r="O936" s="70"/>
      <c r="P936" s="70"/>
      <c r="Q936" s="70"/>
      <c r="R936" s="70"/>
      <c r="S936" s="70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65"/>
      <c r="AO936" s="56"/>
      <c r="AP936" s="56"/>
      <c r="AQ936" s="56"/>
      <c r="AR936" s="56"/>
    </row>
    <row r="937">
      <c r="A937" s="65"/>
      <c r="B937" s="65"/>
      <c r="C937" s="65"/>
      <c r="D937" s="65"/>
      <c r="E937" s="65"/>
      <c r="F937" s="65"/>
      <c r="G937" s="65"/>
      <c r="H937" s="65"/>
      <c r="I937" s="69"/>
      <c r="J937" s="70"/>
      <c r="K937" s="70"/>
      <c r="L937" s="69"/>
      <c r="M937" s="70"/>
      <c r="N937" s="70"/>
      <c r="O937" s="70"/>
      <c r="P937" s="70"/>
      <c r="Q937" s="70"/>
      <c r="R937" s="70"/>
      <c r="S937" s="70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65"/>
      <c r="AO937" s="56"/>
      <c r="AP937" s="56"/>
      <c r="AQ937" s="56"/>
      <c r="AR937" s="56"/>
    </row>
    <row r="938">
      <c r="A938" s="65"/>
      <c r="B938" s="65"/>
      <c r="C938" s="65"/>
      <c r="D938" s="65"/>
      <c r="E938" s="65"/>
      <c r="F938" s="65"/>
      <c r="G938" s="65"/>
      <c r="H938" s="65"/>
      <c r="I938" s="69"/>
      <c r="J938" s="70"/>
      <c r="K938" s="70"/>
      <c r="L938" s="69"/>
      <c r="M938" s="70"/>
      <c r="N938" s="70"/>
      <c r="O938" s="70"/>
      <c r="P938" s="70"/>
      <c r="Q938" s="70"/>
      <c r="R938" s="70"/>
      <c r="S938" s="70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65"/>
      <c r="AO938" s="56"/>
      <c r="AP938" s="56"/>
      <c r="AQ938" s="56"/>
      <c r="AR938" s="56"/>
    </row>
    <row r="939">
      <c r="A939" s="65"/>
      <c r="B939" s="65"/>
      <c r="C939" s="65"/>
      <c r="D939" s="65"/>
      <c r="E939" s="65"/>
      <c r="F939" s="65"/>
      <c r="G939" s="65"/>
      <c r="H939" s="65"/>
      <c r="I939" s="69"/>
      <c r="J939" s="70"/>
      <c r="K939" s="70"/>
      <c r="L939" s="69"/>
      <c r="M939" s="70"/>
      <c r="N939" s="70"/>
      <c r="O939" s="70"/>
      <c r="P939" s="70"/>
      <c r="Q939" s="70"/>
      <c r="R939" s="70"/>
      <c r="S939" s="70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65"/>
      <c r="AO939" s="56"/>
      <c r="AP939" s="56"/>
      <c r="AQ939" s="56"/>
      <c r="AR939" s="56"/>
    </row>
    <row r="940">
      <c r="A940" s="65"/>
      <c r="B940" s="65"/>
      <c r="C940" s="65"/>
      <c r="D940" s="65"/>
      <c r="E940" s="65"/>
      <c r="F940" s="65"/>
      <c r="G940" s="65"/>
      <c r="H940" s="65"/>
      <c r="I940" s="69"/>
      <c r="J940" s="70"/>
      <c r="K940" s="70"/>
      <c r="L940" s="69"/>
      <c r="M940" s="70"/>
      <c r="N940" s="70"/>
      <c r="O940" s="70"/>
      <c r="P940" s="70"/>
      <c r="Q940" s="70"/>
      <c r="R940" s="70"/>
      <c r="S940" s="70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65"/>
      <c r="AO940" s="56"/>
      <c r="AP940" s="56"/>
      <c r="AQ940" s="56"/>
      <c r="AR940" s="56"/>
    </row>
    <row r="941">
      <c r="A941" s="65"/>
      <c r="B941" s="65"/>
      <c r="C941" s="65"/>
      <c r="D941" s="65"/>
      <c r="E941" s="65"/>
      <c r="F941" s="65"/>
      <c r="G941" s="65"/>
      <c r="H941" s="65"/>
      <c r="I941" s="69"/>
      <c r="J941" s="70"/>
      <c r="K941" s="70"/>
      <c r="L941" s="69"/>
      <c r="M941" s="70"/>
      <c r="N941" s="70"/>
      <c r="O941" s="70"/>
      <c r="P941" s="70"/>
      <c r="Q941" s="70"/>
      <c r="R941" s="70"/>
      <c r="S941" s="70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65"/>
      <c r="AO941" s="56"/>
      <c r="AP941" s="56"/>
      <c r="AQ941" s="56"/>
      <c r="AR941" s="56"/>
    </row>
    <row r="942">
      <c r="A942" s="65"/>
      <c r="B942" s="65"/>
      <c r="C942" s="65"/>
      <c r="D942" s="65"/>
      <c r="E942" s="65"/>
      <c r="F942" s="65"/>
      <c r="G942" s="65"/>
      <c r="H942" s="65"/>
      <c r="I942" s="69"/>
      <c r="J942" s="70"/>
      <c r="K942" s="70"/>
      <c r="L942" s="69"/>
      <c r="M942" s="70"/>
      <c r="N942" s="70"/>
      <c r="O942" s="70"/>
      <c r="P942" s="70"/>
      <c r="Q942" s="70"/>
      <c r="R942" s="70"/>
      <c r="S942" s="70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65"/>
      <c r="AO942" s="56"/>
      <c r="AP942" s="56"/>
      <c r="AQ942" s="56"/>
      <c r="AR942" s="56"/>
    </row>
    <row r="943">
      <c r="A943" s="65"/>
      <c r="B943" s="65"/>
      <c r="C943" s="65"/>
      <c r="D943" s="65"/>
      <c r="E943" s="65"/>
      <c r="F943" s="65"/>
      <c r="G943" s="65"/>
      <c r="H943" s="65"/>
      <c r="I943" s="69"/>
      <c r="J943" s="70"/>
      <c r="K943" s="70"/>
      <c r="L943" s="69"/>
      <c r="M943" s="70"/>
      <c r="N943" s="70"/>
      <c r="O943" s="70"/>
      <c r="P943" s="70"/>
      <c r="Q943" s="70"/>
      <c r="R943" s="70"/>
      <c r="S943" s="70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65"/>
      <c r="AO943" s="56"/>
      <c r="AP943" s="56"/>
      <c r="AQ943" s="56"/>
      <c r="AR943" s="56"/>
    </row>
    <row r="944">
      <c r="A944" s="65"/>
      <c r="B944" s="65"/>
      <c r="C944" s="65"/>
      <c r="D944" s="65"/>
      <c r="E944" s="65"/>
      <c r="F944" s="65"/>
      <c r="G944" s="65"/>
      <c r="H944" s="65"/>
      <c r="I944" s="69"/>
      <c r="J944" s="70"/>
      <c r="K944" s="70"/>
      <c r="L944" s="69"/>
      <c r="M944" s="70"/>
      <c r="N944" s="70"/>
      <c r="O944" s="70"/>
      <c r="P944" s="70"/>
      <c r="Q944" s="70"/>
      <c r="R944" s="70"/>
      <c r="S944" s="70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65"/>
      <c r="AO944" s="56"/>
      <c r="AP944" s="56"/>
      <c r="AQ944" s="56"/>
      <c r="AR944" s="56"/>
    </row>
    <row r="945">
      <c r="A945" s="65"/>
      <c r="B945" s="65"/>
      <c r="C945" s="65"/>
      <c r="D945" s="65"/>
      <c r="E945" s="65"/>
      <c r="F945" s="65"/>
      <c r="G945" s="65"/>
      <c r="H945" s="65"/>
      <c r="I945" s="69"/>
      <c r="J945" s="70"/>
      <c r="K945" s="70"/>
      <c r="L945" s="69"/>
      <c r="M945" s="70"/>
      <c r="N945" s="70"/>
      <c r="O945" s="70"/>
      <c r="P945" s="70"/>
      <c r="Q945" s="70"/>
      <c r="R945" s="70"/>
      <c r="S945" s="70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65"/>
      <c r="AO945" s="56"/>
      <c r="AP945" s="56"/>
      <c r="AQ945" s="56"/>
      <c r="AR945" s="56"/>
    </row>
    <row r="946">
      <c r="A946" s="65"/>
      <c r="B946" s="65"/>
      <c r="C946" s="65"/>
      <c r="D946" s="65"/>
      <c r="E946" s="65"/>
      <c r="F946" s="65"/>
      <c r="G946" s="65"/>
      <c r="H946" s="65"/>
      <c r="I946" s="69"/>
      <c r="J946" s="70"/>
      <c r="K946" s="70"/>
      <c r="L946" s="69"/>
      <c r="M946" s="70"/>
      <c r="N946" s="70"/>
      <c r="O946" s="70"/>
      <c r="P946" s="70"/>
      <c r="Q946" s="70"/>
      <c r="R946" s="70"/>
      <c r="S946" s="70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65"/>
      <c r="AO946" s="56"/>
      <c r="AP946" s="56"/>
      <c r="AQ946" s="56"/>
      <c r="AR946" s="56"/>
    </row>
    <row r="947">
      <c r="A947" s="65"/>
      <c r="B947" s="65"/>
      <c r="C947" s="65"/>
      <c r="D947" s="65"/>
      <c r="E947" s="65"/>
      <c r="F947" s="65"/>
      <c r="G947" s="65"/>
      <c r="H947" s="65"/>
      <c r="I947" s="69"/>
      <c r="J947" s="70"/>
      <c r="K947" s="70"/>
      <c r="L947" s="69"/>
      <c r="M947" s="70"/>
      <c r="N947" s="70"/>
      <c r="O947" s="70"/>
      <c r="P947" s="70"/>
      <c r="Q947" s="70"/>
      <c r="R947" s="70"/>
      <c r="S947" s="70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65"/>
      <c r="AO947" s="56"/>
      <c r="AP947" s="56"/>
      <c r="AQ947" s="56"/>
      <c r="AR947" s="56"/>
    </row>
    <row r="948">
      <c r="A948" s="65"/>
      <c r="B948" s="65"/>
      <c r="C948" s="65"/>
      <c r="D948" s="65"/>
      <c r="E948" s="65"/>
      <c r="F948" s="65"/>
      <c r="G948" s="65"/>
      <c r="H948" s="65"/>
      <c r="I948" s="69"/>
      <c r="J948" s="70"/>
      <c r="K948" s="70"/>
      <c r="L948" s="69"/>
      <c r="M948" s="70"/>
      <c r="N948" s="70"/>
      <c r="O948" s="70"/>
      <c r="P948" s="70"/>
      <c r="Q948" s="70"/>
      <c r="R948" s="70"/>
      <c r="S948" s="70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65"/>
      <c r="AO948" s="56"/>
      <c r="AP948" s="56"/>
      <c r="AQ948" s="56"/>
      <c r="AR948" s="56"/>
    </row>
    <row r="949">
      <c r="A949" s="65"/>
      <c r="B949" s="65"/>
      <c r="C949" s="65"/>
      <c r="D949" s="65"/>
      <c r="E949" s="65"/>
      <c r="F949" s="65"/>
      <c r="G949" s="65"/>
      <c r="H949" s="65"/>
      <c r="I949" s="69"/>
      <c r="J949" s="70"/>
      <c r="K949" s="70"/>
      <c r="L949" s="69"/>
      <c r="M949" s="70"/>
      <c r="N949" s="70"/>
      <c r="O949" s="70"/>
      <c r="P949" s="70"/>
      <c r="Q949" s="70"/>
      <c r="R949" s="70"/>
      <c r="S949" s="70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65"/>
      <c r="AO949" s="56"/>
      <c r="AP949" s="56"/>
      <c r="AQ949" s="56"/>
      <c r="AR949" s="56"/>
    </row>
    <row r="950">
      <c r="A950" s="65"/>
      <c r="B950" s="65"/>
      <c r="C950" s="65"/>
      <c r="D950" s="65"/>
      <c r="E950" s="65"/>
      <c r="F950" s="65"/>
      <c r="G950" s="65"/>
      <c r="H950" s="65"/>
      <c r="I950" s="69"/>
      <c r="J950" s="70"/>
      <c r="K950" s="70"/>
      <c r="L950" s="69"/>
      <c r="M950" s="70"/>
      <c r="N950" s="70"/>
      <c r="O950" s="70"/>
      <c r="P950" s="70"/>
      <c r="Q950" s="70"/>
      <c r="R950" s="70"/>
      <c r="S950" s="70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65"/>
      <c r="AO950" s="56"/>
      <c r="AP950" s="56"/>
      <c r="AQ950" s="56"/>
      <c r="AR950" s="56"/>
    </row>
    <row r="951">
      <c r="A951" s="65"/>
      <c r="B951" s="65"/>
      <c r="C951" s="65"/>
      <c r="D951" s="65"/>
      <c r="E951" s="65"/>
      <c r="F951" s="65"/>
      <c r="G951" s="65"/>
      <c r="H951" s="65"/>
      <c r="I951" s="69"/>
      <c r="J951" s="70"/>
      <c r="K951" s="70"/>
      <c r="L951" s="69"/>
      <c r="M951" s="70"/>
      <c r="N951" s="70"/>
      <c r="O951" s="70"/>
      <c r="P951" s="70"/>
      <c r="Q951" s="70"/>
      <c r="R951" s="70"/>
      <c r="S951" s="70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65"/>
      <c r="AO951" s="56"/>
      <c r="AP951" s="56"/>
      <c r="AQ951" s="56"/>
      <c r="AR951" s="56"/>
    </row>
    <row r="952">
      <c r="A952" s="65"/>
      <c r="B952" s="65"/>
      <c r="C952" s="65"/>
      <c r="D952" s="65"/>
      <c r="E952" s="65"/>
      <c r="F952" s="65"/>
      <c r="G952" s="65"/>
      <c r="H952" s="65"/>
      <c r="I952" s="69"/>
      <c r="J952" s="70"/>
      <c r="K952" s="70"/>
      <c r="L952" s="69"/>
      <c r="M952" s="70"/>
      <c r="N952" s="70"/>
      <c r="O952" s="70"/>
      <c r="P952" s="70"/>
      <c r="Q952" s="70"/>
      <c r="R952" s="70"/>
      <c r="S952" s="70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65"/>
      <c r="AO952" s="56"/>
      <c r="AP952" s="56"/>
      <c r="AQ952" s="56"/>
      <c r="AR952" s="56"/>
    </row>
    <row r="953">
      <c r="A953" s="65"/>
      <c r="B953" s="65"/>
      <c r="C953" s="65"/>
      <c r="D953" s="65"/>
      <c r="E953" s="65"/>
      <c r="F953" s="65"/>
      <c r="G953" s="65"/>
      <c r="H953" s="65"/>
      <c r="I953" s="69"/>
      <c r="J953" s="70"/>
      <c r="K953" s="70"/>
      <c r="L953" s="69"/>
      <c r="M953" s="70"/>
      <c r="N953" s="70"/>
      <c r="O953" s="70"/>
      <c r="P953" s="70"/>
      <c r="Q953" s="70"/>
      <c r="R953" s="70"/>
      <c r="S953" s="70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65"/>
      <c r="AO953" s="56"/>
      <c r="AP953" s="56"/>
      <c r="AQ953" s="56"/>
      <c r="AR953" s="56"/>
    </row>
    <row r="954">
      <c r="A954" s="65"/>
      <c r="B954" s="65"/>
      <c r="C954" s="65"/>
      <c r="D954" s="65"/>
      <c r="E954" s="65"/>
      <c r="F954" s="65"/>
      <c r="G954" s="65"/>
      <c r="H954" s="65"/>
      <c r="I954" s="69"/>
      <c r="J954" s="70"/>
      <c r="K954" s="70"/>
      <c r="L954" s="69"/>
      <c r="M954" s="70"/>
      <c r="N954" s="70"/>
      <c r="O954" s="70"/>
      <c r="P954" s="70"/>
      <c r="Q954" s="70"/>
      <c r="R954" s="70"/>
      <c r="S954" s="70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65"/>
      <c r="AO954" s="56"/>
      <c r="AP954" s="56"/>
      <c r="AQ954" s="56"/>
      <c r="AR954" s="56"/>
    </row>
    <row r="955">
      <c r="A955" s="65"/>
      <c r="B955" s="65"/>
      <c r="C955" s="65"/>
      <c r="D955" s="65"/>
      <c r="E955" s="65"/>
      <c r="F955" s="65"/>
      <c r="G955" s="65"/>
      <c r="H955" s="65"/>
      <c r="I955" s="69"/>
      <c r="J955" s="70"/>
      <c r="K955" s="70"/>
      <c r="L955" s="69"/>
      <c r="M955" s="70"/>
      <c r="N955" s="70"/>
      <c r="O955" s="70"/>
      <c r="P955" s="70"/>
      <c r="Q955" s="70"/>
      <c r="R955" s="70"/>
      <c r="S955" s="70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65"/>
      <c r="AO955" s="56"/>
      <c r="AP955" s="56"/>
      <c r="AQ955" s="56"/>
      <c r="AR955" s="56"/>
    </row>
    <row r="956">
      <c r="A956" s="65"/>
      <c r="B956" s="65"/>
      <c r="C956" s="65"/>
      <c r="D956" s="65"/>
      <c r="E956" s="65"/>
      <c r="F956" s="65"/>
      <c r="G956" s="65"/>
      <c r="H956" s="65"/>
      <c r="I956" s="69"/>
      <c r="J956" s="70"/>
      <c r="K956" s="70"/>
      <c r="L956" s="69"/>
      <c r="M956" s="70"/>
      <c r="N956" s="70"/>
      <c r="O956" s="70"/>
      <c r="P956" s="70"/>
      <c r="Q956" s="70"/>
      <c r="R956" s="70"/>
      <c r="S956" s="70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65"/>
      <c r="AO956" s="56"/>
      <c r="AP956" s="56"/>
      <c r="AQ956" s="56"/>
      <c r="AR956" s="56"/>
    </row>
    <row r="957">
      <c r="A957" s="65"/>
      <c r="B957" s="65"/>
      <c r="C957" s="65"/>
      <c r="D957" s="65"/>
      <c r="E957" s="65"/>
      <c r="F957" s="65"/>
      <c r="G957" s="65"/>
      <c r="H957" s="65"/>
      <c r="I957" s="69"/>
      <c r="J957" s="70"/>
      <c r="K957" s="70"/>
      <c r="L957" s="69"/>
      <c r="M957" s="70"/>
      <c r="N957" s="70"/>
      <c r="O957" s="70"/>
      <c r="P957" s="70"/>
      <c r="Q957" s="70"/>
      <c r="R957" s="70"/>
      <c r="S957" s="70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65"/>
      <c r="AO957" s="56"/>
      <c r="AP957" s="56"/>
      <c r="AQ957" s="56"/>
      <c r="AR957" s="56"/>
    </row>
    <row r="958">
      <c r="A958" s="65"/>
      <c r="B958" s="65"/>
      <c r="C958" s="65"/>
      <c r="D958" s="65"/>
      <c r="E958" s="65"/>
      <c r="F958" s="65"/>
      <c r="G958" s="65"/>
      <c r="H958" s="65"/>
      <c r="I958" s="69"/>
      <c r="J958" s="70"/>
      <c r="K958" s="70"/>
      <c r="L958" s="69"/>
      <c r="M958" s="70"/>
      <c r="N958" s="70"/>
      <c r="O958" s="70"/>
      <c r="P958" s="70"/>
      <c r="Q958" s="70"/>
      <c r="R958" s="70"/>
      <c r="S958" s="70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65"/>
      <c r="AO958" s="56"/>
      <c r="AP958" s="56"/>
      <c r="AQ958" s="56"/>
      <c r="AR958" s="56"/>
    </row>
    <row r="959">
      <c r="A959" s="65"/>
      <c r="B959" s="65"/>
      <c r="C959" s="65"/>
      <c r="D959" s="65"/>
      <c r="E959" s="65"/>
      <c r="F959" s="65"/>
      <c r="G959" s="65"/>
      <c r="H959" s="65"/>
      <c r="I959" s="69"/>
      <c r="J959" s="70"/>
      <c r="K959" s="70"/>
      <c r="L959" s="69"/>
      <c r="M959" s="70"/>
      <c r="N959" s="70"/>
      <c r="O959" s="70"/>
      <c r="P959" s="70"/>
      <c r="Q959" s="70"/>
      <c r="R959" s="70"/>
      <c r="S959" s="70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65"/>
      <c r="AO959" s="56"/>
      <c r="AP959" s="56"/>
      <c r="AQ959" s="56"/>
      <c r="AR959" s="56"/>
    </row>
    <row r="960">
      <c r="A960" s="65"/>
      <c r="B960" s="65"/>
      <c r="C960" s="65"/>
      <c r="D960" s="65"/>
      <c r="E960" s="65"/>
      <c r="F960" s="65"/>
      <c r="G960" s="65"/>
      <c r="H960" s="65"/>
      <c r="I960" s="69"/>
      <c r="J960" s="70"/>
      <c r="K960" s="70"/>
      <c r="L960" s="69"/>
      <c r="M960" s="70"/>
      <c r="N960" s="70"/>
      <c r="O960" s="70"/>
      <c r="P960" s="70"/>
      <c r="Q960" s="70"/>
      <c r="R960" s="70"/>
      <c r="S960" s="70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65"/>
      <c r="AO960" s="56"/>
      <c r="AP960" s="56"/>
      <c r="AQ960" s="56"/>
      <c r="AR960" s="56"/>
    </row>
    <row r="961">
      <c r="A961" s="65"/>
      <c r="B961" s="65"/>
      <c r="C961" s="65"/>
      <c r="D961" s="65"/>
      <c r="E961" s="65"/>
      <c r="F961" s="65"/>
      <c r="G961" s="65"/>
      <c r="H961" s="65"/>
      <c r="I961" s="69"/>
      <c r="J961" s="70"/>
      <c r="K961" s="70"/>
      <c r="L961" s="69"/>
      <c r="M961" s="70"/>
      <c r="N961" s="70"/>
      <c r="O961" s="70"/>
      <c r="P961" s="70"/>
      <c r="Q961" s="70"/>
      <c r="R961" s="70"/>
      <c r="S961" s="70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65"/>
      <c r="AO961" s="56"/>
      <c r="AP961" s="56"/>
      <c r="AQ961" s="56"/>
      <c r="AR961" s="56"/>
    </row>
    <row r="962">
      <c r="A962" s="65"/>
      <c r="B962" s="65"/>
      <c r="C962" s="65"/>
      <c r="D962" s="65"/>
      <c r="E962" s="65"/>
      <c r="F962" s="65"/>
      <c r="G962" s="65"/>
      <c r="H962" s="65"/>
      <c r="I962" s="69"/>
      <c r="J962" s="70"/>
      <c r="K962" s="70"/>
      <c r="L962" s="69"/>
      <c r="M962" s="70"/>
      <c r="N962" s="70"/>
      <c r="O962" s="70"/>
      <c r="P962" s="70"/>
      <c r="Q962" s="70"/>
      <c r="R962" s="70"/>
      <c r="S962" s="70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65"/>
      <c r="AO962" s="56"/>
      <c r="AP962" s="56"/>
      <c r="AQ962" s="56"/>
      <c r="AR962" s="56"/>
    </row>
    <row r="963">
      <c r="A963" s="65"/>
      <c r="B963" s="65"/>
      <c r="C963" s="65"/>
      <c r="D963" s="65"/>
      <c r="E963" s="65"/>
      <c r="F963" s="65"/>
      <c r="G963" s="65"/>
      <c r="H963" s="65"/>
      <c r="I963" s="69"/>
      <c r="J963" s="70"/>
      <c r="K963" s="70"/>
      <c r="L963" s="69"/>
      <c r="M963" s="70"/>
      <c r="N963" s="70"/>
      <c r="O963" s="70"/>
      <c r="P963" s="70"/>
      <c r="Q963" s="70"/>
      <c r="R963" s="70"/>
      <c r="S963" s="70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65"/>
      <c r="AO963" s="56"/>
      <c r="AP963" s="56"/>
      <c r="AQ963" s="56"/>
      <c r="AR963" s="56"/>
    </row>
    <row r="964">
      <c r="A964" s="65"/>
      <c r="B964" s="65"/>
      <c r="C964" s="65"/>
      <c r="D964" s="65"/>
      <c r="E964" s="65"/>
      <c r="F964" s="65"/>
      <c r="G964" s="65"/>
      <c r="H964" s="65"/>
      <c r="I964" s="69"/>
      <c r="J964" s="70"/>
      <c r="K964" s="70"/>
      <c r="L964" s="69"/>
      <c r="M964" s="70"/>
      <c r="N964" s="70"/>
      <c r="O964" s="70"/>
      <c r="P964" s="70"/>
      <c r="Q964" s="70"/>
      <c r="R964" s="70"/>
      <c r="S964" s="70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65"/>
      <c r="AO964" s="56"/>
      <c r="AP964" s="56"/>
      <c r="AQ964" s="56"/>
      <c r="AR964" s="56"/>
    </row>
    <row r="965">
      <c r="A965" s="65"/>
      <c r="B965" s="65"/>
      <c r="C965" s="65"/>
      <c r="D965" s="65"/>
      <c r="E965" s="65"/>
      <c r="F965" s="65"/>
      <c r="G965" s="65"/>
      <c r="H965" s="65"/>
      <c r="I965" s="69"/>
      <c r="J965" s="70"/>
      <c r="K965" s="70"/>
      <c r="L965" s="69"/>
      <c r="M965" s="70"/>
      <c r="N965" s="70"/>
      <c r="O965" s="70"/>
      <c r="P965" s="70"/>
      <c r="Q965" s="70"/>
      <c r="R965" s="70"/>
      <c r="S965" s="70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65"/>
      <c r="AO965" s="56"/>
      <c r="AP965" s="56"/>
      <c r="AQ965" s="56"/>
      <c r="AR965" s="56"/>
    </row>
    <row r="966">
      <c r="A966" s="65"/>
      <c r="B966" s="65"/>
      <c r="C966" s="65"/>
      <c r="D966" s="65"/>
      <c r="E966" s="65"/>
      <c r="F966" s="65"/>
      <c r="G966" s="65"/>
      <c r="H966" s="65"/>
      <c r="I966" s="69"/>
      <c r="J966" s="70"/>
      <c r="K966" s="70"/>
      <c r="L966" s="69"/>
      <c r="M966" s="70"/>
      <c r="N966" s="70"/>
      <c r="O966" s="70"/>
      <c r="P966" s="70"/>
      <c r="Q966" s="70"/>
      <c r="R966" s="70"/>
      <c r="S966" s="70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65"/>
      <c r="AO966" s="56"/>
      <c r="AP966" s="56"/>
      <c r="AQ966" s="56"/>
      <c r="AR966" s="56"/>
    </row>
    <row r="967">
      <c r="A967" s="65"/>
      <c r="B967" s="65"/>
      <c r="C967" s="65"/>
      <c r="D967" s="65"/>
      <c r="E967" s="65"/>
      <c r="F967" s="65"/>
      <c r="G967" s="65"/>
      <c r="H967" s="65"/>
      <c r="I967" s="69"/>
      <c r="J967" s="70"/>
      <c r="K967" s="70"/>
      <c r="L967" s="69"/>
      <c r="M967" s="70"/>
      <c r="N967" s="70"/>
      <c r="O967" s="70"/>
      <c r="P967" s="70"/>
      <c r="Q967" s="70"/>
      <c r="R967" s="70"/>
      <c r="S967" s="70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65"/>
      <c r="AO967" s="56"/>
      <c r="AP967" s="56"/>
      <c r="AQ967" s="56"/>
      <c r="AR967" s="56"/>
    </row>
    <row r="968">
      <c r="A968" s="65"/>
      <c r="B968" s="65"/>
      <c r="C968" s="65"/>
      <c r="D968" s="65"/>
      <c r="E968" s="65"/>
      <c r="F968" s="65"/>
      <c r="G968" s="65"/>
      <c r="H968" s="65"/>
      <c r="I968" s="69"/>
      <c r="J968" s="70"/>
      <c r="K968" s="70"/>
      <c r="L968" s="69"/>
      <c r="M968" s="70"/>
      <c r="N968" s="70"/>
      <c r="O968" s="70"/>
      <c r="P968" s="70"/>
      <c r="Q968" s="70"/>
      <c r="R968" s="70"/>
      <c r="S968" s="70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65"/>
      <c r="AO968" s="56"/>
      <c r="AP968" s="56"/>
      <c r="AQ968" s="56"/>
      <c r="AR968" s="56"/>
    </row>
    <row r="969">
      <c r="A969" s="65"/>
      <c r="B969" s="65"/>
      <c r="C969" s="65"/>
      <c r="D969" s="65"/>
      <c r="E969" s="65"/>
      <c r="F969" s="65"/>
      <c r="G969" s="65"/>
      <c r="H969" s="65"/>
      <c r="I969" s="69"/>
      <c r="J969" s="70"/>
      <c r="K969" s="70"/>
      <c r="L969" s="69"/>
      <c r="M969" s="70"/>
      <c r="N969" s="70"/>
      <c r="O969" s="70"/>
      <c r="P969" s="70"/>
      <c r="Q969" s="70"/>
      <c r="R969" s="70"/>
      <c r="S969" s="70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65"/>
      <c r="AO969" s="56"/>
      <c r="AP969" s="56"/>
      <c r="AQ969" s="56"/>
      <c r="AR969" s="56"/>
    </row>
    <row r="970">
      <c r="A970" s="65"/>
      <c r="B970" s="65"/>
      <c r="C970" s="65"/>
      <c r="D970" s="65"/>
      <c r="E970" s="65"/>
      <c r="F970" s="65"/>
      <c r="G970" s="65"/>
      <c r="H970" s="65"/>
      <c r="I970" s="69"/>
      <c r="J970" s="70"/>
      <c r="K970" s="70"/>
      <c r="L970" s="69"/>
      <c r="M970" s="70"/>
      <c r="N970" s="70"/>
      <c r="O970" s="70"/>
      <c r="P970" s="70"/>
      <c r="Q970" s="70"/>
      <c r="R970" s="70"/>
      <c r="S970" s="70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65"/>
      <c r="AO970" s="56"/>
      <c r="AP970" s="56"/>
      <c r="AQ970" s="56"/>
      <c r="AR970" s="56"/>
    </row>
    <row r="971">
      <c r="A971" s="65"/>
      <c r="B971" s="65"/>
      <c r="C971" s="65"/>
      <c r="D971" s="65"/>
      <c r="E971" s="65"/>
      <c r="F971" s="65"/>
      <c r="G971" s="65"/>
      <c r="H971" s="65"/>
      <c r="I971" s="69"/>
      <c r="J971" s="70"/>
      <c r="K971" s="70"/>
      <c r="L971" s="69"/>
      <c r="M971" s="70"/>
      <c r="N971" s="70"/>
      <c r="O971" s="70"/>
      <c r="P971" s="70"/>
      <c r="Q971" s="70"/>
      <c r="R971" s="70"/>
      <c r="S971" s="70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65"/>
      <c r="AO971" s="56"/>
      <c r="AP971" s="56"/>
      <c r="AQ971" s="56"/>
      <c r="AR971" s="56"/>
    </row>
    <row r="972">
      <c r="A972" s="65"/>
      <c r="B972" s="65"/>
      <c r="C972" s="65"/>
      <c r="D972" s="65"/>
      <c r="E972" s="65"/>
      <c r="F972" s="65"/>
      <c r="G972" s="65"/>
      <c r="H972" s="65"/>
      <c r="I972" s="69"/>
      <c r="J972" s="70"/>
      <c r="K972" s="70"/>
      <c r="L972" s="69"/>
      <c r="M972" s="70"/>
      <c r="N972" s="70"/>
      <c r="O972" s="70"/>
      <c r="P972" s="70"/>
      <c r="Q972" s="70"/>
      <c r="R972" s="70"/>
      <c r="S972" s="70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65"/>
      <c r="AO972" s="56"/>
      <c r="AP972" s="56"/>
      <c r="AQ972" s="56"/>
      <c r="AR972" s="56"/>
    </row>
    <row r="973">
      <c r="A973" s="65"/>
      <c r="B973" s="65"/>
      <c r="C973" s="65"/>
      <c r="D973" s="65"/>
      <c r="E973" s="65"/>
      <c r="F973" s="65"/>
      <c r="G973" s="65"/>
      <c r="H973" s="65"/>
      <c r="I973" s="69"/>
      <c r="J973" s="70"/>
      <c r="K973" s="70"/>
      <c r="L973" s="69"/>
      <c r="M973" s="70"/>
      <c r="N973" s="70"/>
      <c r="O973" s="70"/>
      <c r="P973" s="70"/>
      <c r="Q973" s="70"/>
      <c r="R973" s="70"/>
      <c r="S973" s="70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65"/>
      <c r="AO973" s="56"/>
      <c r="AP973" s="56"/>
      <c r="AQ973" s="56"/>
      <c r="AR973" s="56"/>
    </row>
    <row r="974">
      <c r="A974" s="65"/>
      <c r="B974" s="65"/>
      <c r="C974" s="65"/>
      <c r="D974" s="65"/>
      <c r="E974" s="65"/>
      <c r="F974" s="65"/>
      <c r="G974" s="65"/>
      <c r="H974" s="65"/>
      <c r="I974" s="69"/>
      <c r="J974" s="70"/>
      <c r="K974" s="70"/>
      <c r="L974" s="69"/>
      <c r="M974" s="70"/>
      <c r="N974" s="70"/>
      <c r="O974" s="70"/>
      <c r="P974" s="70"/>
      <c r="Q974" s="70"/>
      <c r="R974" s="70"/>
      <c r="S974" s="70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65"/>
      <c r="AO974" s="56"/>
      <c r="AP974" s="56"/>
      <c r="AQ974" s="56"/>
      <c r="AR974" s="56"/>
    </row>
    <row r="975">
      <c r="A975" s="65"/>
      <c r="B975" s="65"/>
      <c r="C975" s="65"/>
      <c r="D975" s="65"/>
      <c r="E975" s="65"/>
      <c r="F975" s="65"/>
      <c r="G975" s="65"/>
      <c r="H975" s="65"/>
      <c r="I975" s="69"/>
      <c r="J975" s="70"/>
      <c r="K975" s="70"/>
      <c r="L975" s="69"/>
      <c r="M975" s="70"/>
      <c r="N975" s="70"/>
      <c r="O975" s="70"/>
      <c r="P975" s="70"/>
      <c r="Q975" s="70"/>
      <c r="R975" s="70"/>
      <c r="S975" s="70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65"/>
      <c r="AO975" s="56"/>
      <c r="AP975" s="56"/>
      <c r="AQ975" s="56"/>
      <c r="AR975" s="56"/>
    </row>
    <row r="976">
      <c r="A976" s="65"/>
      <c r="B976" s="65"/>
      <c r="C976" s="65"/>
      <c r="D976" s="65"/>
      <c r="E976" s="65"/>
      <c r="F976" s="65"/>
      <c r="G976" s="65"/>
      <c r="H976" s="65"/>
      <c r="I976" s="69"/>
      <c r="J976" s="70"/>
      <c r="K976" s="70"/>
      <c r="L976" s="69"/>
      <c r="M976" s="70"/>
      <c r="N976" s="70"/>
      <c r="O976" s="70"/>
      <c r="P976" s="70"/>
      <c r="Q976" s="70"/>
      <c r="R976" s="70"/>
      <c r="S976" s="70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65"/>
      <c r="AO976" s="56"/>
      <c r="AP976" s="56"/>
      <c r="AQ976" s="56"/>
      <c r="AR976" s="56"/>
    </row>
    <row r="977">
      <c r="A977" s="65"/>
      <c r="B977" s="65"/>
      <c r="C977" s="65"/>
      <c r="D977" s="65"/>
      <c r="E977" s="65"/>
      <c r="F977" s="65"/>
      <c r="G977" s="65"/>
      <c r="H977" s="65"/>
      <c r="I977" s="69"/>
      <c r="J977" s="70"/>
      <c r="K977" s="70"/>
      <c r="L977" s="69"/>
      <c r="M977" s="70"/>
      <c r="N977" s="70"/>
      <c r="O977" s="70"/>
      <c r="P977" s="70"/>
      <c r="Q977" s="70"/>
      <c r="R977" s="70"/>
      <c r="S977" s="70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65"/>
      <c r="AO977" s="56"/>
      <c r="AP977" s="56"/>
      <c r="AQ977" s="56"/>
      <c r="AR977" s="56"/>
    </row>
    <row r="978">
      <c r="A978" s="65"/>
      <c r="B978" s="65"/>
      <c r="C978" s="65"/>
      <c r="D978" s="65"/>
      <c r="E978" s="65"/>
      <c r="F978" s="65"/>
      <c r="G978" s="65"/>
      <c r="H978" s="65"/>
      <c r="I978" s="69"/>
      <c r="J978" s="70"/>
      <c r="K978" s="70"/>
      <c r="L978" s="69"/>
      <c r="M978" s="70"/>
      <c r="N978" s="70"/>
      <c r="O978" s="70"/>
      <c r="P978" s="70"/>
      <c r="Q978" s="70"/>
      <c r="R978" s="70"/>
      <c r="S978" s="70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65"/>
      <c r="AO978" s="56"/>
      <c r="AP978" s="56"/>
      <c r="AQ978" s="56"/>
      <c r="AR978" s="56"/>
    </row>
    <row r="979">
      <c r="A979" s="65"/>
      <c r="B979" s="65"/>
      <c r="C979" s="65"/>
      <c r="D979" s="65"/>
      <c r="E979" s="65"/>
      <c r="F979" s="65"/>
      <c r="G979" s="65"/>
      <c r="H979" s="65"/>
      <c r="I979" s="69"/>
      <c r="J979" s="70"/>
      <c r="K979" s="70"/>
      <c r="L979" s="69"/>
      <c r="M979" s="70"/>
      <c r="N979" s="70"/>
      <c r="O979" s="70"/>
      <c r="P979" s="70"/>
      <c r="Q979" s="70"/>
      <c r="R979" s="70"/>
      <c r="S979" s="70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65"/>
      <c r="AO979" s="56"/>
      <c r="AP979" s="56"/>
      <c r="AQ979" s="56"/>
      <c r="AR979" s="56"/>
    </row>
    <row r="980">
      <c r="A980" s="65"/>
      <c r="B980" s="65"/>
      <c r="C980" s="65"/>
      <c r="D980" s="65"/>
      <c r="E980" s="65"/>
      <c r="F980" s="65"/>
      <c r="G980" s="65"/>
      <c r="H980" s="65"/>
      <c r="I980" s="69"/>
      <c r="J980" s="70"/>
      <c r="K980" s="70"/>
      <c r="L980" s="69"/>
      <c r="M980" s="70"/>
      <c r="N980" s="70"/>
      <c r="O980" s="70"/>
      <c r="P980" s="70"/>
      <c r="Q980" s="70"/>
      <c r="R980" s="70"/>
      <c r="S980" s="70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65"/>
      <c r="AO980" s="56"/>
      <c r="AP980" s="56"/>
      <c r="AQ980" s="56"/>
      <c r="AR980" s="56"/>
    </row>
    <row r="981">
      <c r="A981" s="65"/>
      <c r="B981" s="65"/>
      <c r="C981" s="65"/>
      <c r="D981" s="65"/>
      <c r="E981" s="65"/>
      <c r="F981" s="65"/>
      <c r="G981" s="65"/>
      <c r="H981" s="65"/>
      <c r="I981" s="69"/>
      <c r="J981" s="70"/>
      <c r="K981" s="70"/>
      <c r="L981" s="69"/>
      <c r="M981" s="70"/>
      <c r="N981" s="70"/>
      <c r="O981" s="70"/>
      <c r="P981" s="70"/>
      <c r="Q981" s="70"/>
      <c r="R981" s="70"/>
      <c r="S981" s="70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65"/>
      <c r="AO981" s="56"/>
      <c r="AP981" s="56"/>
      <c r="AQ981" s="56"/>
      <c r="AR981" s="56"/>
    </row>
    <row r="982">
      <c r="A982" s="65"/>
      <c r="B982" s="65"/>
      <c r="C982" s="65"/>
      <c r="D982" s="65"/>
      <c r="E982" s="65"/>
      <c r="F982" s="65"/>
      <c r="G982" s="65"/>
      <c r="H982" s="65"/>
      <c r="I982" s="69"/>
      <c r="J982" s="70"/>
      <c r="K982" s="70"/>
      <c r="L982" s="69"/>
      <c r="M982" s="70"/>
      <c r="N982" s="70"/>
      <c r="O982" s="70"/>
      <c r="P982" s="70"/>
      <c r="Q982" s="70"/>
      <c r="R982" s="70"/>
      <c r="S982" s="70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65"/>
      <c r="AO982" s="56"/>
      <c r="AP982" s="56"/>
      <c r="AQ982" s="56"/>
      <c r="AR982" s="56"/>
    </row>
    <row r="983">
      <c r="A983" s="65"/>
      <c r="B983" s="65"/>
      <c r="C983" s="65"/>
      <c r="D983" s="65"/>
      <c r="E983" s="65"/>
      <c r="F983" s="65"/>
      <c r="G983" s="65"/>
      <c r="H983" s="65"/>
      <c r="I983" s="69"/>
      <c r="J983" s="70"/>
      <c r="K983" s="70"/>
      <c r="L983" s="69"/>
      <c r="M983" s="70"/>
      <c r="N983" s="70"/>
      <c r="O983" s="70"/>
      <c r="P983" s="70"/>
      <c r="Q983" s="70"/>
      <c r="R983" s="70"/>
      <c r="S983" s="70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65"/>
      <c r="AO983" s="56"/>
      <c r="AP983" s="56"/>
      <c r="AQ983" s="56"/>
      <c r="AR983" s="56"/>
    </row>
    <row r="984">
      <c r="A984" s="65"/>
      <c r="B984" s="65"/>
      <c r="C984" s="65"/>
      <c r="D984" s="65"/>
      <c r="E984" s="65"/>
      <c r="F984" s="65"/>
      <c r="G984" s="65"/>
      <c r="H984" s="65"/>
      <c r="I984" s="69"/>
      <c r="J984" s="70"/>
      <c r="K984" s="70"/>
      <c r="L984" s="69"/>
      <c r="M984" s="70"/>
      <c r="N984" s="70"/>
      <c r="O984" s="70"/>
      <c r="P984" s="70"/>
      <c r="Q984" s="70"/>
      <c r="R984" s="70"/>
      <c r="S984" s="70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65"/>
      <c r="AO984" s="56"/>
      <c r="AP984" s="56"/>
      <c r="AQ984" s="56"/>
      <c r="AR984" s="56"/>
    </row>
    <row r="985">
      <c r="A985" s="65"/>
      <c r="B985" s="65"/>
      <c r="C985" s="65"/>
      <c r="D985" s="65"/>
      <c r="E985" s="65"/>
      <c r="F985" s="65"/>
      <c r="G985" s="65"/>
      <c r="H985" s="65"/>
      <c r="I985" s="69"/>
      <c r="J985" s="70"/>
      <c r="K985" s="70"/>
      <c r="L985" s="69"/>
      <c r="M985" s="70"/>
      <c r="N985" s="70"/>
      <c r="O985" s="70"/>
      <c r="P985" s="70"/>
      <c r="Q985" s="70"/>
      <c r="R985" s="70"/>
      <c r="S985" s="70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65"/>
      <c r="AO985" s="56"/>
      <c r="AP985" s="56"/>
      <c r="AQ985" s="56"/>
      <c r="AR985" s="56"/>
    </row>
    <row r="986">
      <c r="A986" s="65"/>
      <c r="B986" s="65"/>
      <c r="C986" s="65"/>
      <c r="D986" s="65"/>
      <c r="E986" s="65"/>
      <c r="F986" s="65"/>
      <c r="G986" s="65"/>
      <c r="H986" s="65"/>
      <c r="I986" s="69"/>
      <c r="J986" s="70"/>
      <c r="K986" s="70"/>
      <c r="L986" s="69"/>
      <c r="M986" s="70"/>
      <c r="N986" s="70"/>
      <c r="O986" s="70"/>
      <c r="P986" s="70"/>
      <c r="Q986" s="70"/>
      <c r="R986" s="70"/>
      <c r="S986" s="70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65"/>
      <c r="AO986" s="56"/>
      <c r="AP986" s="56"/>
      <c r="AQ986" s="56"/>
      <c r="AR986" s="56"/>
    </row>
    <row r="987">
      <c r="A987" s="65"/>
      <c r="B987" s="65"/>
      <c r="C987" s="65"/>
      <c r="D987" s="65"/>
      <c r="E987" s="65"/>
      <c r="F987" s="65"/>
      <c r="G987" s="65"/>
      <c r="H987" s="65"/>
      <c r="I987" s="69"/>
      <c r="J987" s="70"/>
      <c r="K987" s="70"/>
      <c r="L987" s="69"/>
      <c r="M987" s="70"/>
      <c r="N987" s="70"/>
      <c r="O987" s="70"/>
      <c r="P987" s="70"/>
      <c r="Q987" s="70"/>
      <c r="R987" s="70"/>
      <c r="S987" s="70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65"/>
      <c r="AO987" s="56"/>
      <c r="AP987" s="56"/>
      <c r="AQ987" s="56"/>
      <c r="AR987" s="56"/>
    </row>
    <row r="988">
      <c r="A988" s="65"/>
      <c r="B988" s="65"/>
      <c r="C988" s="65"/>
      <c r="D988" s="65"/>
      <c r="E988" s="65"/>
      <c r="F988" s="65"/>
      <c r="G988" s="65"/>
      <c r="H988" s="65"/>
      <c r="I988" s="69"/>
      <c r="J988" s="70"/>
      <c r="K988" s="70"/>
      <c r="L988" s="69"/>
      <c r="M988" s="70"/>
      <c r="N988" s="70"/>
      <c r="O988" s="70"/>
      <c r="P988" s="70"/>
      <c r="Q988" s="70"/>
      <c r="R988" s="70"/>
      <c r="S988" s="70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65"/>
      <c r="AO988" s="56"/>
      <c r="AP988" s="56"/>
      <c r="AQ988" s="56"/>
      <c r="AR988" s="56"/>
    </row>
    <row r="989">
      <c r="A989" s="65"/>
      <c r="B989" s="65"/>
      <c r="C989" s="65"/>
      <c r="D989" s="65"/>
      <c r="E989" s="65"/>
      <c r="F989" s="65"/>
      <c r="G989" s="65"/>
      <c r="H989" s="65"/>
      <c r="I989" s="69"/>
      <c r="J989" s="70"/>
      <c r="K989" s="70"/>
      <c r="L989" s="69"/>
      <c r="M989" s="70"/>
      <c r="N989" s="70"/>
      <c r="O989" s="70"/>
      <c r="P989" s="70"/>
      <c r="Q989" s="70"/>
      <c r="R989" s="70"/>
      <c r="S989" s="70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65"/>
      <c r="AO989" s="56"/>
      <c r="AP989" s="56"/>
      <c r="AQ989" s="56"/>
      <c r="AR989" s="56"/>
    </row>
    <row r="990">
      <c r="A990" s="65"/>
      <c r="B990" s="65"/>
      <c r="C990" s="65"/>
      <c r="D990" s="65"/>
      <c r="E990" s="65"/>
      <c r="F990" s="65"/>
      <c r="G990" s="65"/>
      <c r="H990" s="65"/>
      <c r="I990" s="69"/>
      <c r="J990" s="70"/>
      <c r="K990" s="70"/>
      <c r="L990" s="69"/>
      <c r="M990" s="70"/>
      <c r="N990" s="70"/>
      <c r="O990" s="70"/>
      <c r="P990" s="70"/>
      <c r="Q990" s="70"/>
      <c r="R990" s="70"/>
      <c r="S990" s="70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65"/>
      <c r="AO990" s="56"/>
      <c r="AP990" s="56"/>
      <c r="AQ990" s="56"/>
      <c r="AR990" s="56"/>
    </row>
    <row r="991">
      <c r="A991" s="65"/>
      <c r="B991" s="65"/>
      <c r="C991" s="65"/>
      <c r="D991" s="65"/>
      <c r="E991" s="65"/>
      <c r="F991" s="65"/>
      <c r="G991" s="65"/>
      <c r="H991" s="65"/>
      <c r="I991" s="69"/>
      <c r="J991" s="70"/>
      <c r="K991" s="70"/>
      <c r="L991" s="69"/>
      <c r="M991" s="70"/>
      <c r="N991" s="70"/>
      <c r="O991" s="70"/>
      <c r="P991" s="70"/>
      <c r="Q991" s="70"/>
      <c r="R991" s="70"/>
      <c r="S991" s="70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65"/>
      <c r="AO991" s="56"/>
      <c r="AP991" s="56"/>
      <c r="AQ991" s="56"/>
      <c r="AR991" s="56"/>
    </row>
    <row r="992">
      <c r="A992" s="65"/>
      <c r="B992" s="65"/>
      <c r="C992" s="65"/>
      <c r="D992" s="65"/>
      <c r="E992" s="65"/>
      <c r="F992" s="65"/>
      <c r="G992" s="65"/>
      <c r="H992" s="65"/>
      <c r="I992" s="69"/>
      <c r="J992" s="70"/>
      <c r="K992" s="70"/>
      <c r="L992" s="69"/>
      <c r="M992" s="70"/>
      <c r="N992" s="70"/>
      <c r="O992" s="70"/>
      <c r="P992" s="70"/>
      <c r="Q992" s="70"/>
      <c r="R992" s="70"/>
      <c r="S992" s="70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65"/>
      <c r="AO992" s="56"/>
      <c r="AP992" s="56"/>
      <c r="AQ992" s="56"/>
      <c r="AR992" s="56"/>
    </row>
    <row r="993">
      <c r="A993" s="65"/>
      <c r="B993" s="65"/>
      <c r="C993" s="65"/>
      <c r="D993" s="65"/>
      <c r="E993" s="65"/>
      <c r="F993" s="65"/>
      <c r="G993" s="65"/>
      <c r="H993" s="65"/>
      <c r="I993" s="69"/>
      <c r="J993" s="70"/>
      <c r="K993" s="70"/>
      <c r="L993" s="69"/>
      <c r="M993" s="70"/>
      <c r="N993" s="70"/>
      <c r="O993" s="70"/>
      <c r="P993" s="70"/>
      <c r="Q993" s="70"/>
      <c r="R993" s="70"/>
      <c r="S993" s="70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65"/>
      <c r="AO993" s="56"/>
      <c r="AP993" s="56"/>
      <c r="AQ993" s="56"/>
      <c r="AR993" s="56"/>
    </row>
    <row r="994">
      <c r="A994" s="65"/>
      <c r="B994" s="65"/>
      <c r="C994" s="65"/>
      <c r="D994" s="65"/>
      <c r="E994" s="65"/>
      <c r="F994" s="65"/>
      <c r="G994" s="65"/>
      <c r="H994" s="65"/>
      <c r="I994" s="69"/>
      <c r="J994" s="70"/>
      <c r="K994" s="70"/>
      <c r="L994" s="69"/>
      <c r="M994" s="70"/>
      <c r="N994" s="70"/>
      <c r="O994" s="70"/>
      <c r="P994" s="70"/>
      <c r="Q994" s="70"/>
      <c r="R994" s="70"/>
      <c r="S994" s="70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65"/>
      <c r="AO994" s="56"/>
      <c r="AP994" s="56"/>
      <c r="AQ994" s="56"/>
      <c r="AR994" s="56"/>
    </row>
    <row r="995">
      <c r="A995" s="65"/>
      <c r="B995" s="65"/>
      <c r="C995" s="65"/>
      <c r="D995" s="65"/>
      <c r="E995" s="65"/>
      <c r="F995" s="65"/>
      <c r="G995" s="65"/>
      <c r="H995" s="65"/>
      <c r="I995" s="69"/>
      <c r="J995" s="70"/>
      <c r="K995" s="70"/>
      <c r="L995" s="69"/>
      <c r="M995" s="70"/>
      <c r="N995" s="70"/>
      <c r="O995" s="70"/>
      <c r="P995" s="70"/>
      <c r="Q995" s="70"/>
      <c r="R995" s="70"/>
      <c r="S995" s="70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65"/>
      <c r="AO995" s="56"/>
      <c r="AP995" s="56"/>
      <c r="AQ995" s="56"/>
      <c r="AR995" s="56"/>
    </row>
    <row r="996">
      <c r="A996" s="65"/>
      <c r="B996" s="65"/>
      <c r="C996" s="65"/>
      <c r="D996" s="65"/>
      <c r="E996" s="65"/>
      <c r="F996" s="65"/>
      <c r="G996" s="65"/>
      <c r="H996" s="65"/>
      <c r="I996" s="69"/>
      <c r="J996" s="70"/>
      <c r="K996" s="70"/>
      <c r="L996" s="69"/>
      <c r="M996" s="70"/>
      <c r="N996" s="70"/>
      <c r="O996" s="70"/>
      <c r="P996" s="70"/>
      <c r="Q996" s="70"/>
      <c r="R996" s="70"/>
      <c r="S996" s="70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65"/>
      <c r="AO996" s="56"/>
      <c r="AP996" s="56"/>
      <c r="AQ996" s="56"/>
      <c r="AR996" s="56"/>
    </row>
    <row r="997">
      <c r="A997" s="65"/>
      <c r="B997" s="65"/>
      <c r="C997" s="65"/>
      <c r="D997" s="65"/>
      <c r="E997" s="65"/>
      <c r="F997" s="65"/>
      <c r="G997" s="65"/>
      <c r="H997" s="65"/>
      <c r="I997" s="69"/>
      <c r="J997" s="70"/>
      <c r="K997" s="70"/>
      <c r="L997" s="69"/>
      <c r="M997" s="70"/>
      <c r="N997" s="70"/>
      <c r="O997" s="70"/>
      <c r="P997" s="70"/>
      <c r="Q997" s="70"/>
      <c r="R997" s="70"/>
      <c r="S997" s="70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65"/>
      <c r="AO997" s="56"/>
      <c r="AP997" s="56"/>
      <c r="AQ997" s="56"/>
      <c r="AR997" s="56"/>
    </row>
    <row r="998">
      <c r="A998" s="65"/>
      <c r="B998" s="65"/>
      <c r="C998" s="65"/>
      <c r="D998" s="65"/>
      <c r="E998" s="65"/>
      <c r="F998" s="65"/>
      <c r="G998" s="65"/>
      <c r="H998" s="65"/>
      <c r="I998" s="69"/>
      <c r="J998" s="70"/>
      <c r="K998" s="70"/>
      <c r="L998" s="69"/>
      <c r="M998" s="70"/>
      <c r="N998" s="70"/>
      <c r="O998" s="70"/>
      <c r="P998" s="70"/>
      <c r="Q998" s="70"/>
      <c r="R998" s="70"/>
      <c r="S998" s="70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65"/>
      <c r="AO998" s="56"/>
      <c r="AP998" s="56"/>
      <c r="AQ998" s="56"/>
      <c r="AR998" s="56"/>
    </row>
    <row r="999">
      <c r="A999" s="65"/>
      <c r="B999" s="65"/>
      <c r="C999" s="65"/>
      <c r="D999" s="65"/>
      <c r="E999" s="65"/>
      <c r="F999" s="65"/>
      <c r="G999" s="65"/>
      <c r="H999" s="65"/>
      <c r="I999" s="69"/>
      <c r="J999" s="70"/>
      <c r="K999" s="70"/>
      <c r="L999" s="69"/>
      <c r="M999" s="70"/>
      <c r="N999" s="70"/>
      <c r="O999" s="70"/>
      <c r="P999" s="70"/>
      <c r="Q999" s="70"/>
      <c r="R999" s="70"/>
      <c r="S999" s="70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65"/>
      <c r="AO999" s="56"/>
      <c r="AP999" s="56"/>
      <c r="AQ999" s="56"/>
      <c r="AR999" s="56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9"/>
      <c r="J1000" s="70"/>
      <c r="K1000" s="70"/>
      <c r="L1000" s="69"/>
      <c r="M1000" s="70"/>
      <c r="N1000" s="70"/>
      <c r="O1000" s="70"/>
      <c r="P1000" s="70"/>
      <c r="Q1000" s="70"/>
      <c r="R1000" s="70"/>
      <c r="S1000" s="70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65"/>
      <c r="AO1000" s="56"/>
      <c r="AP1000" s="56"/>
      <c r="AQ1000" s="56"/>
      <c r="AR1000" s="56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9"/>
      <c r="J1001" s="70"/>
      <c r="K1001" s="70"/>
      <c r="L1001" s="69"/>
      <c r="M1001" s="70"/>
      <c r="N1001" s="70"/>
      <c r="O1001" s="70"/>
      <c r="P1001" s="70"/>
      <c r="Q1001" s="70"/>
      <c r="R1001" s="70"/>
      <c r="S1001" s="70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  <c r="AM1001" s="56"/>
      <c r="AN1001" s="65"/>
      <c r="AO1001" s="56"/>
      <c r="AP1001" s="56"/>
      <c r="AQ1001" s="56"/>
      <c r="AR1001" s="56"/>
    </row>
    <row r="1002">
      <c r="A1002" s="65"/>
      <c r="B1002" s="65"/>
      <c r="C1002" s="65"/>
      <c r="D1002" s="65"/>
      <c r="E1002" s="65"/>
      <c r="F1002" s="65"/>
      <c r="G1002" s="65"/>
      <c r="H1002" s="65"/>
      <c r="I1002" s="69"/>
      <c r="J1002" s="70"/>
      <c r="K1002" s="70"/>
      <c r="L1002" s="69"/>
      <c r="M1002" s="70"/>
      <c r="N1002" s="70"/>
      <c r="O1002" s="70"/>
      <c r="P1002" s="70"/>
      <c r="Q1002" s="70"/>
      <c r="R1002" s="70"/>
      <c r="S1002" s="70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  <c r="AM1002" s="56"/>
      <c r="AN1002" s="65"/>
      <c r="AO1002" s="56"/>
      <c r="AP1002" s="56"/>
      <c r="AQ1002" s="56"/>
      <c r="AR1002" s="56"/>
    </row>
    <row r="1003">
      <c r="A1003" s="65"/>
      <c r="B1003" s="65"/>
      <c r="C1003" s="65"/>
      <c r="D1003" s="65"/>
      <c r="E1003" s="65"/>
      <c r="F1003" s="65"/>
      <c r="G1003" s="65"/>
      <c r="H1003" s="65"/>
      <c r="I1003" s="69"/>
      <c r="J1003" s="70"/>
      <c r="K1003" s="70"/>
      <c r="L1003" s="69"/>
      <c r="M1003" s="70"/>
      <c r="N1003" s="70"/>
      <c r="O1003" s="70"/>
      <c r="P1003" s="70"/>
      <c r="Q1003" s="70"/>
      <c r="R1003" s="70"/>
      <c r="S1003" s="70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  <c r="AM1003" s="56"/>
      <c r="AN1003" s="65"/>
      <c r="AO1003" s="56"/>
      <c r="AP1003" s="56"/>
      <c r="AQ1003" s="56"/>
      <c r="AR1003" s="56"/>
    </row>
    <row r="1004">
      <c r="A1004" s="65"/>
      <c r="B1004" s="65"/>
      <c r="C1004" s="65"/>
      <c r="D1004" s="65"/>
      <c r="E1004" s="65"/>
      <c r="F1004" s="65"/>
      <c r="G1004" s="65"/>
      <c r="H1004" s="65"/>
      <c r="I1004" s="69"/>
      <c r="J1004" s="70"/>
      <c r="K1004" s="70"/>
      <c r="L1004" s="69"/>
      <c r="M1004" s="70"/>
      <c r="N1004" s="70"/>
      <c r="O1004" s="70"/>
      <c r="P1004" s="70"/>
      <c r="Q1004" s="70"/>
      <c r="R1004" s="70"/>
      <c r="S1004" s="70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  <c r="AM1004" s="56"/>
      <c r="AN1004" s="65"/>
      <c r="AO1004" s="56"/>
      <c r="AP1004" s="56"/>
      <c r="AQ1004" s="56"/>
      <c r="AR1004" s="56"/>
    </row>
    <row r="1005">
      <c r="A1005" s="65"/>
      <c r="B1005" s="65"/>
      <c r="C1005" s="65"/>
      <c r="D1005" s="65"/>
      <c r="E1005" s="65"/>
      <c r="F1005" s="65"/>
      <c r="G1005" s="65"/>
      <c r="H1005" s="65"/>
      <c r="I1005" s="69"/>
      <c r="J1005" s="70"/>
      <c r="K1005" s="70"/>
      <c r="L1005" s="69"/>
      <c r="M1005" s="70"/>
      <c r="N1005" s="70"/>
      <c r="O1005" s="70"/>
      <c r="P1005" s="70"/>
      <c r="Q1005" s="70"/>
      <c r="R1005" s="70"/>
      <c r="S1005" s="70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  <c r="AM1005" s="56"/>
      <c r="AN1005" s="65"/>
      <c r="AO1005" s="56"/>
      <c r="AP1005" s="56"/>
      <c r="AQ1005" s="56"/>
      <c r="AR1005" s="56"/>
    </row>
    <row r="1006">
      <c r="A1006" s="65"/>
      <c r="B1006" s="65"/>
      <c r="C1006" s="65"/>
      <c r="D1006" s="65"/>
      <c r="E1006" s="65"/>
      <c r="F1006" s="65"/>
      <c r="G1006" s="65"/>
      <c r="H1006" s="65"/>
      <c r="I1006" s="69"/>
      <c r="J1006" s="70"/>
      <c r="K1006" s="70"/>
      <c r="L1006" s="69"/>
      <c r="M1006" s="70"/>
      <c r="N1006" s="70"/>
      <c r="O1006" s="70"/>
      <c r="P1006" s="70"/>
      <c r="Q1006" s="70"/>
      <c r="R1006" s="70"/>
      <c r="S1006" s="70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  <c r="AM1006" s="56"/>
      <c r="AN1006" s="65"/>
      <c r="AO1006" s="56"/>
      <c r="AP1006" s="56"/>
      <c r="AQ1006" s="56"/>
      <c r="AR1006" s="56"/>
    </row>
    <row r="1007">
      <c r="A1007" s="65"/>
      <c r="B1007" s="65"/>
      <c r="C1007" s="65"/>
      <c r="D1007" s="65"/>
      <c r="E1007" s="65"/>
      <c r="F1007" s="65"/>
      <c r="G1007" s="65"/>
      <c r="H1007" s="65"/>
      <c r="I1007" s="69"/>
      <c r="J1007" s="65"/>
      <c r="K1007" s="65"/>
      <c r="L1007" s="69"/>
      <c r="M1007" s="65"/>
      <c r="N1007" s="65"/>
      <c r="O1007" s="65"/>
      <c r="P1007" s="65"/>
      <c r="Q1007" s="65"/>
      <c r="R1007" s="65"/>
      <c r="S1007" s="65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  <c r="AM1007" s="56"/>
      <c r="AN1007" s="65"/>
      <c r="AO1007" s="56"/>
      <c r="AP1007" s="56"/>
      <c r="AQ1007" s="56"/>
      <c r="AR1007" s="5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25"/>
    <col customWidth="1" min="3" max="3" width="20.88"/>
    <col customWidth="1" min="4" max="4" width="41.25"/>
  </cols>
  <sheetData>
    <row r="1">
      <c r="A1" s="72"/>
      <c r="B1" s="73" t="s">
        <v>551</v>
      </c>
      <c r="C1" s="73" t="s">
        <v>552</v>
      </c>
      <c r="D1" s="73" t="s">
        <v>0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72"/>
      <c r="B2" s="74" t="s">
        <v>553</v>
      </c>
      <c r="C2" s="74" t="s">
        <v>554</v>
      </c>
      <c r="D2" s="74" t="s">
        <v>555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72"/>
      <c r="B3" s="74" t="s">
        <v>556</v>
      </c>
      <c r="C3" s="74" t="s">
        <v>557</v>
      </c>
      <c r="D3" s="74" t="s">
        <v>555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72"/>
      <c r="B4" s="74" t="s">
        <v>558</v>
      </c>
      <c r="C4" s="74" t="s">
        <v>559</v>
      </c>
      <c r="D4" s="74" t="s">
        <v>555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72"/>
      <c r="B5" s="74" t="s">
        <v>560</v>
      </c>
      <c r="C5" s="74" t="s">
        <v>561</v>
      </c>
      <c r="D5" s="74" t="s">
        <v>562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72"/>
      <c r="B6" s="74" t="s">
        <v>563</v>
      </c>
      <c r="C6" s="74" t="s">
        <v>564</v>
      </c>
      <c r="D6" s="74" t="s">
        <v>562</v>
      </c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A7" s="72"/>
      <c r="B7" s="74" t="s">
        <v>565</v>
      </c>
      <c r="C7" s="74" t="s">
        <v>566</v>
      </c>
      <c r="D7" s="74" t="s">
        <v>562</v>
      </c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>
      <c r="A8" s="72"/>
      <c r="B8" s="74" t="s">
        <v>567</v>
      </c>
      <c r="C8" s="74" t="s">
        <v>568</v>
      </c>
      <c r="D8" s="74" t="s">
        <v>562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72"/>
      <c r="B9" s="74" t="s">
        <v>569</v>
      </c>
      <c r="C9" s="74" t="s">
        <v>570</v>
      </c>
      <c r="D9" s="74" t="s">
        <v>562</v>
      </c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A10" s="72"/>
      <c r="B10" s="74" t="s">
        <v>571</v>
      </c>
      <c r="C10" s="74" t="s">
        <v>572</v>
      </c>
      <c r="D10" s="74" t="s">
        <v>573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72"/>
      <c r="B11" s="74" t="s">
        <v>574</v>
      </c>
      <c r="C11" s="74" t="s">
        <v>575</v>
      </c>
      <c r="D11" s="74" t="s">
        <v>573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72"/>
      <c r="B12" s="74" t="s">
        <v>576</v>
      </c>
      <c r="C12" s="74" t="s">
        <v>561</v>
      </c>
      <c r="D12" s="74" t="s">
        <v>573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72"/>
      <c r="B13" s="74" t="s">
        <v>577</v>
      </c>
      <c r="C13" s="74" t="s">
        <v>578</v>
      </c>
      <c r="D13" s="74" t="s">
        <v>573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A14" s="72"/>
      <c r="B14" s="74" t="s">
        <v>579</v>
      </c>
      <c r="C14" s="74" t="s">
        <v>580</v>
      </c>
      <c r="D14" s="74" t="s">
        <v>573</v>
      </c>
      <c r="E14" s="74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72"/>
      <c r="B15" s="74" t="s">
        <v>581</v>
      </c>
      <c r="C15" s="75" t="s">
        <v>582</v>
      </c>
      <c r="D15" s="74" t="s">
        <v>583</v>
      </c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72"/>
      <c r="B16" s="74" t="s">
        <v>584</v>
      </c>
      <c r="C16" s="75" t="s">
        <v>585</v>
      </c>
      <c r="D16" s="74" t="s">
        <v>583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>
      <c r="A17" s="72"/>
      <c r="B17" s="74" t="s">
        <v>586</v>
      </c>
      <c r="C17" s="75" t="s">
        <v>587</v>
      </c>
      <c r="D17" s="74" t="s">
        <v>583</v>
      </c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>
      <c r="A18" s="72"/>
      <c r="B18" s="74" t="s">
        <v>588</v>
      </c>
      <c r="C18" s="75" t="s">
        <v>589</v>
      </c>
      <c r="D18" s="74" t="s">
        <v>583</v>
      </c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72"/>
      <c r="B19" s="74" t="s">
        <v>590</v>
      </c>
      <c r="C19" s="75" t="s">
        <v>591</v>
      </c>
      <c r="D19" s="74" t="s">
        <v>583</v>
      </c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72"/>
      <c r="B20" s="74" t="s">
        <v>592</v>
      </c>
      <c r="C20" s="75" t="s">
        <v>593</v>
      </c>
      <c r="D20" s="74" t="s">
        <v>583</v>
      </c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72"/>
      <c r="B21" s="74" t="s">
        <v>594</v>
      </c>
      <c r="C21" s="75" t="s">
        <v>595</v>
      </c>
      <c r="D21" s="74" t="s">
        <v>583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A22" s="72"/>
      <c r="B22" s="74" t="s">
        <v>596</v>
      </c>
      <c r="C22" s="74" t="s">
        <v>597</v>
      </c>
      <c r="D22" s="74" t="s">
        <v>598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A23" s="72"/>
      <c r="B23" s="74" t="s">
        <v>599</v>
      </c>
      <c r="C23" s="74" t="s">
        <v>600</v>
      </c>
      <c r="D23" s="74" t="s">
        <v>598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>
      <c r="A24" s="72"/>
      <c r="B24" s="74" t="s">
        <v>601</v>
      </c>
      <c r="C24" s="74" t="s">
        <v>602</v>
      </c>
      <c r="D24" s="74" t="s">
        <v>598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>
      <c r="A25" s="72"/>
      <c r="B25" s="74" t="s">
        <v>603</v>
      </c>
      <c r="C25" s="74" t="s">
        <v>604</v>
      </c>
      <c r="D25" s="74" t="s">
        <v>598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>
      <c r="A26" s="72"/>
      <c r="B26" s="74" t="s">
        <v>605</v>
      </c>
      <c r="C26" s="74" t="s">
        <v>606</v>
      </c>
      <c r="D26" s="74" t="s">
        <v>598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>
      <c r="A27" s="72"/>
      <c r="B27" s="74" t="s">
        <v>607</v>
      </c>
      <c r="C27" s="74" t="s">
        <v>608</v>
      </c>
      <c r="D27" s="74" t="s">
        <v>598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A28" s="72"/>
      <c r="B28" s="74" t="s">
        <v>609</v>
      </c>
      <c r="C28" s="75" t="s">
        <v>610</v>
      </c>
      <c r="D28" s="74" t="s">
        <v>611</v>
      </c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72"/>
      <c r="B29" s="74" t="s">
        <v>612</v>
      </c>
      <c r="C29" s="75" t="s">
        <v>613</v>
      </c>
      <c r="D29" s="74" t="s">
        <v>611</v>
      </c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A30" s="72"/>
      <c r="B30" s="74" t="s">
        <v>614</v>
      </c>
      <c r="C30" s="75" t="s">
        <v>615</v>
      </c>
      <c r="D30" s="74" t="s">
        <v>611</v>
      </c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A31" s="72"/>
      <c r="B31" s="74" t="s">
        <v>616</v>
      </c>
      <c r="C31" s="75" t="s">
        <v>617</v>
      </c>
      <c r="D31" s="74" t="s">
        <v>611</v>
      </c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>
      <c r="A32" s="72"/>
      <c r="B32" s="74" t="s">
        <v>618</v>
      </c>
      <c r="C32" s="75" t="s">
        <v>619</v>
      </c>
      <c r="D32" s="74" t="s">
        <v>611</v>
      </c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A33" s="72"/>
      <c r="B33" s="74" t="s">
        <v>620</v>
      </c>
      <c r="C33" s="75" t="s">
        <v>621</v>
      </c>
      <c r="D33" s="74" t="s">
        <v>611</v>
      </c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>
      <c r="A34" s="72"/>
      <c r="B34" s="74" t="s">
        <v>622</v>
      </c>
      <c r="C34" s="75" t="s">
        <v>623</v>
      </c>
      <c r="D34" s="74" t="s">
        <v>611</v>
      </c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>
      <c r="A35" s="72"/>
      <c r="B35" s="74" t="s">
        <v>624</v>
      </c>
      <c r="C35" s="75" t="s">
        <v>625</v>
      </c>
      <c r="D35" s="74" t="s">
        <v>611</v>
      </c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>
      <c r="A36" s="72"/>
      <c r="B36" s="74" t="s">
        <v>626</v>
      </c>
      <c r="C36" s="75" t="s">
        <v>627</v>
      </c>
      <c r="D36" s="74" t="s">
        <v>611</v>
      </c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>
      <c r="A37" s="72"/>
      <c r="B37" s="74" t="s">
        <v>628</v>
      </c>
      <c r="C37" s="75" t="s">
        <v>629</v>
      </c>
      <c r="D37" s="74" t="s">
        <v>611</v>
      </c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>
      <c r="A38" s="72"/>
      <c r="B38" s="74" t="s">
        <v>630</v>
      </c>
      <c r="C38" s="75" t="s">
        <v>631</v>
      </c>
      <c r="D38" s="74" t="s">
        <v>611</v>
      </c>
      <c r="E38" s="75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>
      <c r="A39" s="72"/>
      <c r="B39" s="74" t="s">
        <v>632</v>
      </c>
      <c r="C39" s="75" t="s">
        <v>633</v>
      </c>
      <c r="D39" s="74" t="s">
        <v>611</v>
      </c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>
      <c r="A40" s="72"/>
      <c r="B40" s="74" t="s">
        <v>634</v>
      </c>
      <c r="C40" s="75" t="s">
        <v>635</v>
      </c>
      <c r="D40" s="74" t="s">
        <v>611</v>
      </c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>
      <c r="A41" s="72"/>
      <c r="B41" s="74" t="s">
        <v>636</v>
      </c>
      <c r="C41" s="75" t="s">
        <v>637</v>
      </c>
      <c r="D41" s="74" t="s">
        <v>611</v>
      </c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>
      <c r="A42" s="72"/>
      <c r="B42" s="74" t="s">
        <v>638</v>
      </c>
      <c r="C42" s="75" t="s">
        <v>639</v>
      </c>
      <c r="D42" s="74" t="s">
        <v>611</v>
      </c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>
      <c r="A43" s="72"/>
      <c r="B43" s="74" t="s">
        <v>640</v>
      </c>
      <c r="C43" s="75" t="s">
        <v>641</v>
      </c>
      <c r="D43" s="74" t="s">
        <v>611</v>
      </c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>
      <c r="A44" s="72"/>
      <c r="B44" s="74" t="s">
        <v>642</v>
      </c>
      <c r="C44" s="75" t="s">
        <v>643</v>
      </c>
      <c r="D44" s="74" t="s">
        <v>644</v>
      </c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>
      <c r="A45" s="72"/>
      <c r="B45" s="74" t="s">
        <v>645</v>
      </c>
      <c r="C45" s="75" t="s">
        <v>646</v>
      </c>
      <c r="D45" s="74" t="s">
        <v>644</v>
      </c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>
      <c r="A46" s="72"/>
      <c r="B46" s="74" t="s">
        <v>647</v>
      </c>
      <c r="C46" s="75" t="s">
        <v>648</v>
      </c>
      <c r="D46" s="74" t="s">
        <v>649</v>
      </c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A47" s="72"/>
      <c r="B47" s="74" t="s">
        <v>650</v>
      </c>
      <c r="C47" s="75" t="s">
        <v>651</v>
      </c>
      <c r="D47" s="74" t="s">
        <v>649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A48" s="72"/>
      <c r="B48" s="74" t="s">
        <v>652</v>
      </c>
      <c r="C48" s="75" t="s">
        <v>653</v>
      </c>
      <c r="D48" s="74" t="s">
        <v>649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A49" s="72"/>
      <c r="B49" s="74" t="s">
        <v>654</v>
      </c>
      <c r="C49" s="75" t="s">
        <v>655</v>
      </c>
      <c r="D49" s="74" t="s">
        <v>649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>
      <c r="A50" s="72"/>
      <c r="B50" s="74" t="s">
        <v>656</v>
      </c>
      <c r="C50" s="75" t="s">
        <v>657</v>
      </c>
      <c r="D50" s="74" t="s">
        <v>649</v>
      </c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A51" s="72"/>
      <c r="B51" s="74" t="s">
        <v>658</v>
      </c>
      <c r="C51" s="75" t="s">
        <v>659</v>
      </c>
      <c r="D51" s="74" t="s">
        <v>17</v>
      </c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>
      <c r="A52" s="72"/>
      <c r="B52" s="74" t="s">
        <v>660</v>
      </c>
      <c r="C52" s="75" t="s">
        <v>661</v>
      </c>
      <c r="D52" s="74" t="s">
        <v>17</v>
      </c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A53" s="72"/>
      <c r="B53" s="74" t="s">
        <v>662</v>
      </c>
      <c r="C53" s="75" t="s">
        <v>663</v>
      </c>
      <c r="D53" s="74" t="s">
        <v>17</v>
      </c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>
      <c r="A54" s="72"/>
      <c r="B54" s="74" t="s">
        <v>664</v>
      </c>
      <c r="C54" s="75" t="s">
        <v>665</v>
      </c>
      <c r="D54" s="74" t="s">
        <v>17</v>
      </c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72"/>
      <c r="B55" s="74" t="s">
        <v>666</v>
      </c>
      <c r="C55" s="75" t="s">
        <v>667</v>
      </c>
      <c r="D55" s="74" t="s">
        <v>17</v>
      </c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A56" s="72"/>
      <c r="B56" s="74" t="s">
        <v>668</v>
      </c>
      <c r="C56" s="75" t="s">
        <v>669</v>
      </c>
      <c r="D56" s="74" t="s">
        <v>17</v>
      </c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A57" s="72"/>
      <c r="B57" s="74" t="s">
        <v>670</v>
      </c>
      <c r="C57" s="75" t="s">
        <v>671</v>
      </c>
      <c r="D57" s="74" t="s">
        <v>17</v>
      </c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>
      <c r="A58" s="72"/>
      <c r="B58" s="74" t="s">
        <v>672</v>
      </c>
      <c r="C58" s="74"/>
      <c r="D58" s="74" t="s">
        <v>673</v>
      </c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A59" s="72"/>
      <c r="B59" s="74" t="s">
        <v>674</v>
      </c>
      <c r="C59" s="74"/>
      <c r="D59" s="74" t="s">
        <v>673</v>
      </c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A60" s="72"/>
      <c r="B60" s="74" t="s">
        <v>675</v>
      </c>
      <c r="C60" s="74"/>
      <c r="D60" s="74" t="s">
        <v>673</v>
      </c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72"/>
      <c r="B61" s="74" t="s">
        <v>676</v>
      </c>
      <c r="C61" s="74"/>
      <c r="D61" s="74" t="s">
        <v>673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A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A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9.0"/>
    <col customWidth="1" min="3" max="3" width="8.88"/>
    <col customWidth="1" min="4" max="4" width="20.88"/>
    <col customWidth="1" min="5" max="5" width="7.25"/>
    <col customWidth="1" min="6" max="7" width="12.13"/>
    <col customWidth="1" min="8" max="8" width="15.75"/>
    <col customWidth="1" min="9" max="9" width="24.38"/>
    <col customWidth="1" min="10" max="10" width="8.5"/>
    <col customWidth="1" min="11" max="11" width="10.25"/>
    <col customWidth="1" min="12" max="12" width="24.0"/>
    <col customWidth="1" min="13" max="13" width="26.0"/>
    <col customWidth="1" min="14" max="14" width="9.0"/>
    <col customWidth="1" min="15" max="15" width="19.5"/>
    <col customWidth="1" min="16" max="16" width="25.88"/>
    <col customWidth="1" min="17" max="17" width="6.38"/>
    <col customWidth="1" min="18" max="18" width="7.13"/>
    <col customWidth="1" min="19" max="19" width="6.25"/>
    <col customWidth="1" min="20" max="20" width="8.0"/>
    <col customWidth="1" min="21" max="21" width="19.25"/>
    <col customWidth="1" min="22" max="22" width="11.88"/>
    <col customWidth="1" min="23" max="23" width="10.5"/>
    <col customWidth="1" min="24" max="24" width="24.63"/>
    <col customWidth="1" min="25" max="25" width="19.13"/>
    <col customWidth="1" min="26" max="26" width="15.13"/>
    <col customWidth="1" min="27" max="27" width="9.13"/>
    <col customWidth="1" min="28" max="28" width="13.88"/>
    <col customWidth="1" min="29" max="29" width="7.38"/>
    <col customWidth="1" min="30" max="30" width="17.88"/>
    <col customWidth="1" min="31" max="31" width="5.88"/>
    <col customWidth="1" min="32" max="51" width="9.88"/>
    <col customWidth="1" min="52" max="55" width="17.0"/>
  </cols>
  <sheetData>
    <row r="1">
      <c r="A1" s="54" t="s">
        <v>1</v>
      </c>
      <c r="B1" s="54" t="s">
        <v>34</v>
      </c>
      <c r="C1" s="54" t="s">
        <v>677</v>
      </c>
      <c r="D1" s="54" t="s">
        <v>36</v>
      </c>
      <c r="E1" s="54" t="s">
        <v>37</v>
      </c>
      <c r="F1" s="54" t="s">
        <v>38</v>
      </c>
      <c r="G1" s="54" t="s">
        <v>39</v>
      </c>
      <c r="H1" s="54" t="s">
        <v>678</v>
      </c>
      <c r="I1" s="54" t="s">
        <v>679</v>
      </c>
      <c r="J1" s="54" t="s">
        <v>42</v>
      </c>
      <c r="K1" s="76" t="s">
        <v>245</v>
      </c>
      <c r="L1" s="54" t="s">
        <v>26</v>
      </c>
      <c r="M1" s="54" t="s">
        <v>4</v>
      </c>
      <c r="N1" s="54" t="s">
        <v>6</v>
      </c>
      <c r="O1" s="54" t="s">
        <v>25</v>
      </c>
      <c r="P1" s="54" t="s">
        <v>7</v>
      </c>
      <c r="Q1" s="54" t="s">
        <v>680</v>
      </c>
      <c r="R1" s="54" t="s">
        <v>51</v>
      </c>
      <c r="S1" s="54" t="s">
        <v>681</v>
      </c>
      <c r="T1" s="54" t="s">
        <v>682</v>
      </c>
      <c r="U1" s="54" t="s">
        <v>683</v>
      </c>
      <c r="V1" s="54" t="s">
        <v>684</v>
      </c>
      <c r="W1" s="54" t="s">
        <v>685</v>
      </c>
      <c r="X1" s="54" t="s">
        <v>686</v>
      </c>
      <c r="Y1" s="54" t="s">
        <v>687</v>
      </c>
      <c r="Z1" s="54" t="s">
        <v>688</v>
      </c>
      <c r="AA1" s="54" t="s">
        <v>689</v>
      </c>
      <c r="AB1" s="54" t="s">
        <v>690</v>
      </c>
      <c r="AC1" s="54" t="s">
        <v>691</v>
      </c>
      <c r="AD1" s="54" t="s">
        <v>692</v>
      </c>
      <c r="AE1" s="65"/>
      <c r="AF1" s="57" t="s">
        <v>53</v>
      </c>
      <c r="AG1" s="57" t="s">
        <v>53</v>
      </c>
      <c r="AH1" s="57" t="s">
        <v>53</v>
      </c>
      <c r="AI1" s="57" t="s">
        <v>53</v>
      </c>
      <c r="AJ1" s="57" t="s">
        <v>53</v>
      </c>
      <c r="AK1" s="57" t="s">
        <v>53</v>
      </c>
      <c r="AL1" s="57" t="s">
        <v>53</v>
      </c>
      <c r="AM1" s="57" t="s">
        <v>53</v>
      </c>
      <c r="AN1" s="57" t="s">
        <v>53</v>
      </c>
      <c r="AO1" s="57" t="s">
        <v>53</v>
      </c>
      <c r="AP1" s="57" t="s">
        <v>53</v>
      </c>
      <c r="AQ1" s="57" t="s">
        <v>53</v>
      </c>
      <c r="AR1" s="57" t="s">
        <v>53</v>
      </c>
      <c r="AS1" s="57" t="s">
        <v>53</v>
      </c>
      <c r="AT1" s="57" t="s">
        <v>53</v>
      </c>
      <c r="AU1" s="57" t="s">
        <v>53</v>
      </c>
      <c r="AV1" s="57" t="s">
        <v>53</v>
      </c>
      <c r="AW1" s="57" t="s">
        <v>53</v>
      </c>
      <c r="AX1" s="57" t="s">
        <v>53</v>
      </c>
      <c r="AY1" s="57" t="s">
        <v>53</v>
      </c>
      <c r="AZ1" s="58"/>
      <c r="BA1" s="58"/>
      <c r="BB1" s="58"/>
      <c r="BC1" s="65"/>
    </row>
    <row r="2">
      <c r="A2" s="77" t="s">
        <v>598</v>
      </c>
      <c r="B2" s="78" t="s">
        <v>693</v>
      </c>
      <c r="C2" s="79" t="s">
        <v>694</v>
      </c>
      <c r="D2" s="78" t="s">
        <v>597</v>
      </c>
      <c r="E2" s="79">
        <v>25.0</v>
      </c>
      <c r="F2" s="79">
        <v>1390.0</v>
      </c>
      <c r="G2" s="79">
        <v>785.0</v>
      </c>
      <c r="H2" s="80">
        <v>0.15332175925925925</v>
      </c>
      <c r="I2" s="79">
        <v>42.0</v>
      </c>
      <c r="J2" s="81">
        <v>1.68</v>
      </c>
      <c r="K2" s="82">
        <v>90.58</v>
      </c>
      <c r="L2" s="83">
        <v>90.65</v>
      </c>
      <c r="M2" s="83">
        <v>88.39</v>
      </c>
      <c r="N2" s="83">
        <v>89.96</v>
      </c>
      <c r="O2" s="83">
        <v>90.15</v>
      </c>
      <c r="P2" s="83">
        <v>94.15</v>
      </c>
      <c r="Q2" s="84">
        <v>0.1703</v>
      </c>
      <c r="R2" s="84">
        <v>0.038</v>
      </c>
      <c r="S2" s="84">
        <v>0.7917</v>
      </c>
      <c r="T2" s="84">
        <v>0.0054</v>
      </c>
      <c r="U2" s="84">
        <v>0.0725</v>
      </c>
      <c r="V2" s="84">
        <v>0.0435</v>
      </c>
      <c r="W2" s="84">
        <v>0.0725</v>
      </c>
      <c r="X2" s="84">
        <v>0.6014</v>
      </c>
      <c r="Y2" s="84">
        <v>0.0797</v>
      </c>
      <c r="Z2" s="84">
        <v>0.0435</v>
      </c>
      <c r="AA2" s="84">
        <v>0.0163</v>
      </c>
      <c r="AB2" s="84">
        <v>0.0072</v>
      </c>
      <c r="AC2" s="84">
        <v>0.0471</v>
      </c>
      <c r="AD2" s="84">
        <v>0.0054</v>
      </c>
      <c r="AE2" s="65"/>
      <c r="AF2" s="58">
        <f t="shared" ref="AF2:AY2" si="1">CORREL($J$2:$J$7,K2:K7)</f>
        <v>-0.4897777273</v>
      </c>
      <c r="AG2" s="58">
        <f t="shared" si="1"/>
        <v>-0.4394315797</v>
      </c>
      <c r="AH2" s="58">
        <f t="shared" si="1"/>
        <v>-0.5316747954</v>
      </c>
      <c r="AI2" s="58">
        <f t="shared" si="1"/>
        <v>-0.425965349</v>
      </c>
      <c r="AJ2" s="58">
        <f t="shared" si="1"/>
        <v>-0.2213733493</v>
      </c>
      <c r="AK2" s="58">
        <f t="shared" si="1"/>
        <v>-0.4781868817</v>
      </c>
      <c r="AL2" s="58">
        <f t="shared" si="1"/>
        <v>0.3092316287</v>
      </c>
      <c r="AM2" s="58">
        <f t="shared" si="1"/>
        <v>0.01785514133</v>
      </c>
      <c r="AN2" s="58">
        <f t="shared" si="1"/>
        <v>-0.2991876881</v>
      </c>
      <c r="AO2" s="58">
        <f t="shared" si="1"/>
        <v>-0.4684903842</v>
      </c>
      <c r="AP2" s="58">
        <f t="shared" si="1"/>
        <v>-0.7147182226</v>
      </c>
      <c r="AQ2" s="58">
        <f t="shared" si="1"/>
        <v>0.2532956282</v>
      </c>
      <c r="AR2" s="58">
        <f t="shared" si="1"/>
        <v>-0.9358342788</v>
      </c>
      <c r="AS2" s="58">
        <f t="shared" si="1"/>
        <v>0.7189901772</v>
      </c>
      <c r="AT2" s="58">
        <f t="shared" si="1"/>
        <v>0.5137691132</v>
      </c>
      <c r="AU2" s="58">
        <f t="shared" si="1"/>
        <v>-0.7059421206</v>
      </c>
      <c r="AV2" s="58">
        <f t="shared" si="1"/>
        <v>0.3024035767</v>
      </c>
      <c r="AW2" s="58">
        <f t="shared" si="1"/>
        <v>-0.6228470243</v>
      </c>
      <c r="AX2" s="58">
        <f t="shared" si="1"/>
        <v>-0.8468341926</v>
      </c>
      <c r="AY2" s="58">
        <f t="shared" si="1"/>
        <v>0.1944182332</v>
      </c>
      <c r="AZ2" s="58"/>
      <c r="BA2" s="58"/>
      <c r="BB2" s="58"/>
      <c r="BC2" s="65"/>
    </row>
    <row r="3">
      <c r="A3" s="77" t="s">
        <v>598</v>
      </c>
      <c r="B3" s="78" t="s">
        <v>693</v>
      </c>
      <c r="C3" s="79" t="s">
        <v>695</v>
      </c>
      <c r="D3" s="78" t="s">
        <v>600</v>
      </c>
      <c r="E3" s="79">
        <v>25.0</v>
      </c>
      <c r="F3" s="79">
        <v>1478.0</v>
      </c>
      <c r="G3" s="79">
        <v>775.0</v>
      </c>
      <c r="H3" s="80">
        <v>0.13321759259259258</v>
      </c>
      <c r="I3" s="79">
        <v>44.0</v>
      </c>
      <c r="J3" s="81">
        <v>1.76</v>
      </c>
      <c r="K3" s="82">
        <v>88.38</v>
      </c>
      <c r="L3" s="83">
        <v>89.4</v>
      </c>
      <c r="M3" s="83">
        <v>85.44</v>
      </c>
      <c r="N3" s="83">
        <v>87.28</v>
      </c>
      <c r="O3" s="83">
        <v>88.59</v>
      </c>
      <c r="P3" s="83">
        <v>91.93</v>
      </c>
      <c r="Q3" s="84">
        <v>0.1486</v>
      </c>
      <c r="R3" s="84">
        <v>0.044</v>
      </c>
      <c r="S3" s="84">
        <v>0.8073</v>
      </c>
      <c r="T3" s="84">
        <v>0.011</v>
      </c>
      <c r="U3" s="84">
        <v>0.0532</v>
      </c>
      <c r="V3" s="84">
        <v>0.022</v>
      </c>
      <c r="W3" s="84">
        <v>0.0624</v>
      </c>
      <c r="X3" s="84">
        <v>0.6771</v>
      </c>
      <c r="Y3" s="84">
        <v>0.055</v>
      </c>
      <c r="Z3" s="84">
        <v>0.0404</v>
      </c>
      <c r="AA3" s="84">
        <v>0.0165</v>
      </c>
      <c r="AB3" s="84">
        <v>0.0055</v>
      </c>
      <c r="AC3" s="84">
        <v>0.044</v>
      </c>
      <c r="AD3" s="84">
        <v>0.0037</v>
      </c>
      <c r="AE3" s="65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65"/>
      <c r="BA3" s="65"/>
      <c r="BB3" s="65"/>
      <c r="BC3" s="65"/>
    </row>
    <row r="4">
      <c r="A4" s="77" t="s">
        <v>598</v>
      </c>
      <c r="B4" s="78" t="s">
        <v>693</v>
      </c>
      <c r="C4" s="79" t="s">
        <v>696</v>
      </c>
      <c r="D4" s="78" t="s">
        <v>602</v>
      </c>
      <c r="E4" s="79">
        <v>22.0</v>
      </c>
      <c r="F4" s="79">
        <v>904.0</v>
      </c>
      <c r="G4" s="79">
        <v>703.0</v>
      </c>
      <c r="H4" s="80">
        <v>0.1478587962962963</v>
      </c>
      <c r="I4" s="79">
        <v>36.0</v>
      </c>
      <c r="J4" s="81">
        <v>1.6363636363636365</v>
      </c>
      <c r="K4" s="82">
        <v>89.99</v>
      </c>
      <c r="L4" s="83">
        <v>90.5</v>
      </c>
      <c r="M4" s="83">
        <v>87.06</v>
      </c>
      <c r="N4" s="83">
        <v>89.58</v>
      </c>
      <c r="O4" s="83">
        <v>89.74</v>
      </c>
      <c r="P4" s="83">
        <v>93.69</v>
      </c>
      <c r="Q4" s="84">
        <v>0.2283</v>
      </c>
      <c r="R4" s="84">
        <v>0.0465</v>
      </c>
      <c r="S4" s="84">
        <v>0.7252</v>
      </c>
      <c r="T4" s="84">
        <v>0.0127</v>
      </c>
      <c r="U4" s="84">
        <v>0.0677</v>
      </c>
      <c r="V4" s="84">
        <v>0.0592</v>
      </c>
      <c r="W4" s="84">
        <v>0.0761</v>
      </c>
      <c r="X4" s="84">
        <v>0.5814</v>
      </c>
      <c r="Y4" s="84">
        <v>0.0825</v>
      </c>
      <c r="Z4" s="84">
        <v>0.0507</v>
      </c>
      <c r="AA4" s="84">
        <v>0.0127</v>
      </c>
      <c r="AB4" s="84">
        <v>0.0021</v>
      </c>
      <c r="AC4" s="84">
        <v>0.0529</v>
      </c>
      <c r="AD4" s="84">
        <v>0.0063</v>
      </c>
      <c r="AE4" s="65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65"/>
      <c r="BA4" s="65"/>
      <c r="BB4" s="65"/>
      <c r="BC4" s="65"/>
    </row>
    <row r="5">
      <c r="A5" s="77" t="s">
        <v>598</v>
      </c>
      <c r="B5" s="78" t="s">
        <v>693</v>
      </c>
      <c r="C5" s="79" t="s">
        <v>697</v>
      </c>
      <c r="D5" s="78" t="s">
        <v>608</v>
      </c>
      <c r="E5" s="79">
        <v>26.0</v>
      </c>
      <c r="F5" s="79">
        <v>1745.0</v>
      </c>
      <c r="G5" s="79">
        <v>925.0</v>
      </c>
      <c r="H5" s="80">
        <v>0.13175925925925927</v>
      </c>
      <c r="I5" s="79">
        <v>44.0</v>
      </c>
      <c r="J5" s="81">
        <v>1.6923076923076923</v>
      </c>
      <c r="K5" s="82">
        <v>88.97</v>
      </c>
      <c r="L5" s="83">
        <v>89.29</v>
      </c>
      <c r="M5" s="83">
        <v>86.87</v>
      </c>
      <c r="N5" s="83">
        <v>87.55</v>
      </c>
      <c r="O5" s="83">
        <v>89.13</v>
      </c>
      <c r="P5" s="83">
        <v>92.54</v>
      </c>
      <c r="Q5" s="84">
        <v>0.1921</v>
      </c>
      <c r="R5" s="84">
        <v>0.0377</v>
      </c>
      <c r="S5" s="84">
        <v>0.7702</v>
      </c>
      <c r="T5" s="84">
        <v>0.0206</v>
      </c>
      <c r="U5" s="84">
        <v>0.0429</v>
      </c>
      <c r="V5" s="84">
        <v>0.036</v>
      </c>
      <c r="W5" s="84">
        <v>0.0652</v>
      </c>
      <c r="X5" s="84">
        <v>0.6672</v>
      </c>
      <c r="Y5" s="84">
        <v>0.0583</v>
      </c>
      <c r="Z5" s="84">
        <v>0.024</v>
      </c>
      <c r="AA5" s="84">
        <v>0.024</v>
      </c>
      <c r="AB5" s="84">
        <v>0.0086</v>
      </c>
      <c r="AC5" s="84">
        <v>0.0497</v>
      </c>
      <c r="AD5" s="84">
        <v>0.0051</v>
      </c>
      <c r="AE5" s="65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65"/>
      <c r="BA5" s="65"/>
      <c r="BB5" s="65"/>
      <c r="BC5" s="65"/>
    </row>
    <row r="6">
      <c r="A6" s="77" t="s">
        <v>598</v>
      </c>
      <c r="B6" s="78" t="s">
        <v>693</v>
      </c>
      <c r="C6" s="79" t="s">
        <v>698</v>
      </c>
      <c r="D6" s="78" t="s">
        <v>604</v>
      </c>
      <c r="E6" s="79">
        <v>25.0</v>
      </c>
      <c r="F6" s="79">
        <v>1249.0</v>
      </c>
      <c r="G6" s="79">
        <v>728.0</v>
      </c>
      <c r="H6" s="80">
        <v>0.12746527777777777</v>
      </c>
      <c r="I6" s="79">
        <v>35.0</v>
      </c>
      <c r="J6" s="81">
        <v>1.4</v>
      </c>
      <c r="K6" s="82">
        <v>90.36</v>
      </c>
      <c r="L6" s="83">
        <v>90.37</v>
      </c>
      <c r="M6" s="83">
        <v>88.2</v>
      </c>
      <c r="N6" s="83">
        <v>89.59</v>
      </c>
      <c r="O6" s="83">
        <v>90.45</v>
      </c>
      <c r="P6" s="83">
        <v>93.74</v>
      </c>
      <c r="Q6" s="84">
        <v>0.1402</v>
      </c>
      <c r="R6" s="84">
        <v>0.0392</v>
      </c>
      <c r="S6" s="84">
        <v>0.8206</v>
      </c>
      <c r="T6" s="84">
        <v>0.0186</v>
      </c>
      <c r="U6" s="84">
        <v>0.0784</v>
      </c>
      <c r="V6" s="84">
        <v>0.0206</v>
      </c>
      <c r="W6" s="84">
        <v>0.1031</v>
      </c>
      <c r="X6" s="84">
        <v>0.5814</v>
      </c>
      <c r="Y6" s="84">
        <v>0.0412</v>
      </c>
      <c r="Z6" s="84">
        <v>0.0577</v>
      </c>
      <c r="AA6" s="84">
        <v>0.0165</v>
      </c>
      <c r="AB6" s="84">
        <v>0.0124</v>
      </c>
      <c r="AC6" s="84">
        <v>0.0598</v>
      </c>
      <c r="AD6" s="84">
        <v>0.0041</v>
      </c>
      <c r="AE6" s="65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65"/>
      <c r="BA6" s="65"/>
      <c r="BB6" s="65"/>
      <c r="BC6" s="65"/>
    </row>
    <row r="7">
      <c r="A7" s="77" t="s">
        <v>598</v>
      </c>
      <c r="B7" s="78" t="s">
        <v>693</v>
      </c>
      <c r="C7" s="79" t="s">
        <v>699</v>
      </c>
      <c r="D7" s="78" t="s">
        <v>606</v>
      </c>
      <c r="E7" s="79">
        <v>27.0</v>
      </c>
      <c r="F7" s="79">
        <v>1151.0</v>
      </c>
      <c r="G7" s="79">
        <v>944.0</v>
      </c>
      <c r="H7" s="80">
        <v>0.14443287037037036</v>
      </c>
      <c r="I7" s="79">
        <v>42.0</v>
      </c>
      <c r="J7" s="81">
        <v>1.5555555555555556</v>
      </c>
      <c r="K7" s="82">
        <v>88.97</v>
      </c>
      <c r="L7" s="83">
        <v>89.89</v>
      </c>
      <c r="M7" s="83">
        <v>86.47</v>
      </c>
      <c r="N7" s="83">
        <v>87.78</v>
      </c>
      <c r="O7" s="83">
        <v>87.18</v>
      </c>
      <c r="P7" s="83">
        <v>92.87</v>
      </c>
      <c r="Q7" s="84">
        <v>0.1669</v>
      </c>
      <c r="R7" s="84">
        <v>0.0477</v>
      </c>
      <c r="S7" s="84">
        <v>0.7854</v>
      </c>
      <c r="T7" s="84">
        <v>0.0168</v>
      </c>
      <c r="U7" s="84">
        <v>0.0743</v>
      </c>
      <c r="V7" s="84">
        <v>0.0351</v>
      </c>
      <c r="W7" s="84">
        <v>0.0996</v>
      </c>
      <c r="X7" s="84">
        <v>0.5877</v>
      </c>
      <c r="Y7" s="84">
        <v>0.0533</v>
      </c>
      <c r="Z7" s="84">
        <v>0.0491</v>
      </c>
      <c r="AA7" s="84">
        <v>0.0084</v>
      </c>
      <c r="AB7" s="84">
        <v>0.007</v>
      </c>
      <c r="AC7" s="84">
        <v>0.0631</v>
      </c>
      <c r="AD7" s="84">
        <v>0.0042</v>
      </c>
      <c r="AE7" s="65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65"/>
      <c r="BA7" s="65"/>
      <c r="BB7" s="65"/>
      <c r="BC7" s="6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65"/>
      <c r="AF8" s="56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</row>
    <row r="9">
      <c r="A9" s="54" t="s">
        <v>1</v>
      </c>
      <c r="B9" s="54" t="s">
        <v>700</v>
      </c>
      <c r="C9" s="54" t="s">
        <v>677</v>
      </c>
      <c r="D9" s="54" t="s">
        <v>36</v>
      </c>
      <c r="E9" s="54" t="s">
        <v>37</v>
      </c>
      <c r="F9" s="54" t="s">
        <v>38</v>
      </c>
      <c r="G9" s="54" t="s">
        <v>39</v>
      </c>
      <c r="H9" s="54" t="s">
        <v>678</v>
      </c>
      <c r="I9" s="54" t="s">
        <v>679</v>
      </c>
      <c r="J9" s="54" t="s">
        <v>42</v>
      </c>
      <c r="K9" s="76" t="s">
        <v>245</v>
      </c>
      <c r="L9" s="54" t="s">
        <v>26</v>
      </c>
      <c r="M9" s="54" t="s">
        <v>4</v>
      </c>
      <c r="N9" s="54" t="s">
        <v>6</v>
      </c>
      <c r="O9" s="54" t="s">
        <v>25</v>
      </c>
      <c r="P9" s="54" t="s">
        <v>7</v>
      </c>
      <c r="Q9" s="54" t="s">
        <v>680</v>
      </c>
      <c r="R9" s="54" t="s">
        <v>51</v>
      </c>
      <c r="S9" s="54" t="s">
        <v>681</v>
      </c>
      <c r="T9" s="54" t="s">
        <v>682</v>
      </c>
      <c r="U9" s="54" t="s">
        <v>683</v>
      </c>
      <c r="V9" s="54" t="s">
        <v>684</v>
      </c>
      <c r="W9" s="54" t="s">
        <v>685</v>
      </c>
      <c r="X9" s="54" t="s">
        <v>686</v>
      </c>
      <c r="Y9" s="54" t="s">
        <v>687</v>
      </c>
      <c r="Z9" s="54" t="s">
        <v>688</v>
      </c>
      <c r="AA9" s="54" t="s">
        <v>689</v>
      </c>
      <c r="AB9" s="54" t="s">
        <v>690</v>
      </c>
      <c r="AC9" s="54" t="s">
        <v>691</v>
      </c>
      <c r="AD9" s="54" t="s">
        <v>692</v>
      </c>
      <c r="AE9" s="65"/>
      <c r="AF9" s="57" t="s">
        <v>53</v>
      </c>
      <c r="AG9" s="57" t="s">
        <v>53</v>
      </c>
      <c r="AH9" s="57" t="s">
        <v>53</v>
      </c>
      <c r="AI9" s="57" t="s">
        <v>53</v>
      </c>
      <c r="AJ9" s="57" t="s">
        <v>53</v>
      </c>
      <c r="AK9" s="57" t="s">
        <v>53</v>
      </c>
      <c r="AL9" s="57" t="s">
        <v>53</v>
      </c>
      <c r="AM9" s="57" t="s">
        <v>53</v>
      </c>
      <c r="AN9" s="57" t="s">
        <v>53</v>
      </c>
      <c r="AO9" s="57" t="s">
        <v>53</v>
      </c>
      <c r="AP9" s="57" t="s">
        <v>53</v>
      </c>
      <c r="AQ9" s="57" t="s">
        <v>53</v>
      </c>
      <c r="AR9" s="57" t="s">
        <v>53</v>
      </c>
      <c r="AS9" s="57" t="s">
        <v>53</v>
      </c>
      <c r="AT9" s="57" t="s">
        <v>53</v>
      </c>
      <c r="AU9" s="57" t="s">
        <v>53</v>
      </c>
      <c r="AV9" s="57" t="s">
        <v>53</v>
      </c>
      <c r="AW9" s="57" t="s">
        <v>53</v>
      </c>
      <c r="AX9" s="57" t="s">
        <v>53</v>
      </c>
      <c r="AY9" s="57" t="s">
        <v>53</v>
      </c>
      <c r="AZ9" s="65"/>
      <c r="BA9" s="65"/>
      <c r="BB9" s="65"/>
      <c r="BC9" s="65"/>
    </row>
    <row r="10">
      <c r="A10" s="77" t="s">
        <v>701</v>
      </c>
      <c r="B10" s="78" t="s">
        <v>702</v>
      </c>
      <c r="C10" s="79" t="s">
        <v>703</v>
      </c>
      <c r="D10" s="78" t="s">
        <v>568</v>
      </c>
      <c r="E10" s="79">
        <v>23.0</v>
      </c>
      <c r="F10" s="79">
        <v>2245.0</v>
      </c>
      <c r="G10" s="79">
        <v>1793.0</v>
      </c>
      <c r="H10" s="80">
        <v>0.1287037037037037</v>
      </c>
      <c r="I10" s="79">
        <v>61.0</v>
      </c>
      <c r="J10" s="81">
        <v>2.652173913043478</v>
      </c>
      <c r="K10" s="82">
        <v>89.61</v>
      </c>
      <c r="L10" s="83">
        <v>90.08</v>
      </c>
      <c r="M10" s="83">
        <v>85.34</v>
      </c>
      <c r="N10" s="83">
        <v>89.81</v>
      </c>
      <c r="O10" s="83">
        <v>90.63</v>
      </c>
      <c r="P10" s="83">
        <v>93.33</v>
      </c>
      <c r="Q10" s="84">
        <v>0.2454</v>
      </c>
      <c r="R10" s="84">
        <v>0.0093</v>
      </c>
      <c r="S10" s="84">
        <v>0.7454</v>
      </c>
      <c r="T10" s="84">
        <v>0.0</v>
      </c>
      <c r="U10" s="84">
        <v>0.044</v>
      </c>
      <c r="V10" s="84">
        <v>0.0579</v>
      </c>
      <c r="W10" s="84">
        <v>0.0671</v>
      </c>
      <c r="X10" s="84">
        <v>0.7593</v>
      </c>
      <c r="Y10" s="84">
        <v>0.0231</v>
      </c>
      <c r="Z10" s="84">
        <v>0.0185</v>
      </c>
      <c r="AA10" s="84">
        <v>0.0023</v>
      </c>
      <c r="AB10" s="84">
        <v>0.0</v>
      </c>
      <c r="AC10" s="84">
        <v>0.0185</v>
      </c>
      <c r="AD10" s="84">
        <v>0.0</v>
      </c>
      <c r="AE10" s="65"/>
      <c r="AF10" s="58">
        <f t="shared" ref="AF10:AY10" si="2">CORREL($J$10:$J$22,K10:K22)</f>
        <v>0.5311284767</v>
      </c>
      <c r="AG10" s="58">
        <f t="shared" si="2"/>
        <v>0.3833150773</v>
      </c>
      <c r="AH10" s="58">
        <f t="shared" si="2"/>
        <v>0.0694122886</v>
      </c>
      <c r="AI10" s="58">
        <f t="shared" si="2"/>
        <v>0.4501061271</v>
      </c>
      <c r="AJ10" s="58">
        <f t="shared" si="2"/>
        <v>0.6203197114</v>
      </c>
      <c r="AK10" s="58">
        <f t="shared" si="2"/>
        <v>0.520419482</v>
      </c>
      <c r="AL10" s="58">
        <f t="shared" si="2"/>
        <v>0.4922048725</v>
      </c>
      <c r="AM10" s="58">
        <f t="shared" si="2"/>
        <v>-0.1971511905</v>
      </c>
      <c r="AN10" s="58">
        <f t="shared" si="2"/>
        <v>-0.4917886991</v>
      </c>
      <c r="AO10" s="58">
        <f t="shared" si="2"/>
        <v>-0.2064601277</v>
      </c>
      <c r="AP10" s="58">
        <f t="shared" si="2"/>
        <v>-0.3807068563</v>
      </c>
      <c r="AQ10" s="58">
        <f t="shared" si="2"/>
        <v>0.7993560142</v>
      </c>
      <c r="AR10" s="58">
        <f t="shared" si="2"/>
        <v>0.07833896585</v>
      </c>
      <c r="AS10" s="58">
        <f t="shared" si="2"/>
        <v>0.5726232167</v>
      </c>
      <c r="AT10" s="58">
        <f t="shared" si="2"/>
        <v>-0.3968794795</v>
      </c>
      <c r="AU10" s="58">
        <f t="shared" si="2"/>
        <v>-0.3843728699</v>
      </c>
      <c r="AV10" s="58">
        <f t="shared" si="2"/>
        <v>-0.3780618327</v>
      </c>
      <c r="AW10" s="58">
        <f t="shared" si="2"/>
        <v>-0.3432621072</v>
      </c>
      <c r="AX10" s="58">
        <f t="shared" si="2"/>
        <v>-0.7231375106</v>
      </c>
      <c r="AY10" s="58">
        <f t="shared" si="2"/>
        <v>0.1758115756</v>
      </c>
      <c r="AZ10" s="65"/>
      <c r="BA10" s="65"/>
      <c r="BB10" s="65"/>
      <c r="BC10" s="65"/>
    </row>
    <row r="11">
      <c r="A11" s="77" t="s">
        <v>701</v>
      </c>
      <c r="B11" s="78" t="s">
        <v>702</v>
      </c>
      <c r="C11" s="79" t="s">
        <v>704</v>
      </c>
      <c r="D11" s="78" t="s">
        <v>570</v>
      </c>
      <c r="E11" s="79">
        <v>25.0</v>
      </c>
      <c r="F11" s="79">
        <v>1943.0</v>
      </c>
      <c r="G11" s="79">
        <v>1771.0</v>
      </c>
      <c r="H11" s="80">
        <v>0.17021990740740742</v>
      </c>
      <c r="I11" s="79">
        <v>46.0</v>
      </c>
      <c r="J11" s="81">
        <v>1.84</v>
      </c>
      <c r="K11" s="82">
        <v>90.47</v>
      </c>
      <c r="L11" s="83">
        <v>90.86</v>
      </c>
      <c r="M11" s="83">
        <v>87.52</v>
      </c>
      <c r="N11" s="83">
        <v>91.63</v>
      </c>
      <c r="O11" s="83">
        <v>88.48</v>
      </c>
      <c r="P11" s="83">
        <v>93.85</v>
      </c>
      <c r="Q11" s="84">
        <v>0.178</v>
      </c>
      <c r="R11" s="84">
        <v>0.0186</v>
      </c>
      <c r="S11" s="84">
        <v>0.8034</v>
      </c>
      <c r="T11" s="84">
        <v>0.0051</v>
      </c>
      <c r="U11" s="84">
        <v>0.0797</v>
      </c>
      <c r="V11" s="84">
        <v>0.0271</v>
      </c>
      <c r="W11" s="84">
        <v>0.0525</v>
      </c>
      <c r="X11" s="84">
        <v>0.7237</v>
      </c>
      <c r="Y11" s="84">
        <v>0.0288</v>
      </c>
      <c r="Z11" s="84">
        <v>0.0458</v>
      </c>
      <c r="AA11" s="84">
        <v>0.0034</v>
      </c>
      <c r="AB11" s="84">
        <v>0.0034</v>
      </c>
      <c r="AC11" s="84">
        <v>0.0203</v>
      </c>
      <c r="AD11" s="84">
        <v>0.0</v>
      </c>
      <c r="AE11" s="65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65"/>
      <c r="BA11" s="65"/>
      <c r="BB11" s="65"/>
      <c r="BC11" s="65"/>
    </row>
    <row r="12">
      <c r="A12" s="77" t="s">
        <v>701</v>
      </c>
      <c r="B12" s="78" t="s">
        <v>702</v>
      </c>
      <c r="C12" s="79" t="s">
        <v>705</v>
      </c>
      <c r="D12" s="78" t="s">
        <v>564</v>
      </c>
      <c r="E12" s="79">
        <v>24.0</v>
      </c>
      <c r="F12" s="79">
        <v>2508.0</v>
      </c>
      <c r="G12" s="79">
        <v>1994.0</v>
      </c>
      <c r="H12" s="80">
        <v>0.15563657407407408</v>
      </c>
      <c r="I12" s="79">
        <v>48.0</v>
      </c>
      <c r="J12" s="81">
        <v>2.0</v>
      </c>
      <c r="K12" s="82">
        <v>90.29</v>
      </c>
      <c r="L12" s="83">
        <v>90.09</v>
      </c>
      <c r="M12" s="83">
        <v>88.3</v>
      </c>
      <c r="N12" s="83">
        <v>90.09</v>
      </c>
      <c r="O12" s="83">
        <v>89.71</v>
      </c>
      <c r="P12" s="83">
        <v>93.49</v>
      </c>
      <c r="Q12" s="84">
        <v>0.1818</v>
      </c>
      <c r="R12" s="84">
        <v>0.0</v>
      </c>
      <c r="S12" s="84">
        <v>0.8182</v>
      </c>
      <c r="T12" s="84">
        <v>0.0</v>
      </c>
      <c r="U12" s="84">
        <v>0.0634</v>
      </c>
      <c r="V12" s="84">
        <v>0.0444</v>
      </c>
      <c r="W12" s="84">
        <v>0.0803</v>
      </c>
      <c r="X12" s="84">
        <v>0.6913</v>
      </c>
      <c r="Y12" s="84">
        <v>0.0529</v>
      </c>
      <c r="Z12" s="84">
        <v>0.0359</v>
      </c>
      <c r="AA12" s="84">
        <v>0.0085</v>
      </c>
      <c r="AB12" s="84">
        <v>0.0</v>
      </c>
      <c r="AC12" s="84">
        <v>0.0169</v>
      </c>
      <c r="AD12" s="84">
        <v>0.0</v>
      </c>
      <c r="AE12" s="65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65"/>
      <c r="BA12" s="65"/>
      <c r="BB12" s="65"/>
      <c r="BC12" s="65"/>
    </row>
    <row r="13">
      <c r="A13" s="77" t="s">
        <v>701</v>
      </c>
      <c r="B13" s="78" t="s">
        <v>706</v>
      </c>
      <c r="C13" s="79" t="s">
        <v>707</v>
      </c>
      <c r="D13" s="78" t="s">
        <v>561</v>
      </c>
      <c r="E13" s="79">
        <v>24.0</v>
      </c>
      <c r="F13" s="79">
        <v>2885.0</v>
      </c>
      <c r="G13" s="79">
        <v>1922.0</v>
      </c>
      <c r="H13" s="80">
        <v>0.12883101851851853</v>
      </c>
      <c r="I13" s="79">
        <v>53.0</v>
      </c>
      <c r="J13" s="81">
        <v>2.2083333333333335</v>
      </c>
      <c r="K13" s="82">
        <v>89.95</v>
      </c>
      <c r="L13" s="83">
        <v>87.29</v>
      </c>
      <c r="M13" s="83">
        <v>85.98</v>
      </c>
      <c r="N13" s="83">
        <v>87.39</v>
      </c>
      <c r="O13" s="83">
        <v>88.18</v>
      </c>
      <c r="P13" s="83">
        <v>93.1</v>
      </c>
      <c r="Q13" s="84">
        <v>0.1289</v>
      </c>
      <c r="R13" s="84">
        <v>0.0264</v>
      </c>
      <c r="S13" s="84">
        <v>0.8447</v>
      </c>
      <c r="T13" s="84">
        <v>0.0062</v>
      </c>
      <c r="U13" s="84">
        <v>0.0932</v>
      </c>
      <c r="V13" s="84">
        <v>0.0186</v>
      </c>
      <c r="W13" s="84">
        <v>0.0714</v>
      </c>
      <c r="X13" s="84">
        <v>0.6941</v>
      </c>
      <c r="Y13" s="84">
        <v>0.0233</v>
      </c>
      <c r="Z13" s="84">
        <v>0.0606</v>
      </c>
      <c r="AA13" s="84">
        <v>0.0093</v>
      </c>
      <c r="AB13" s="84">
        <v>0.0016</v>
      </c>
      <c r="AC13" s="84">
        <v>0.014</v>
      </c>
      <c r="AD13" s="84">
        <v>0.0062</v>
      </c>
      <c r="AE13" s="65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65"/>
      <c r="BA13" s="65"/>
      <c r="BB13" s="65"/>
      <c r="BC13" s="65"/>
    </row>
    <row r="14">
      <c r="A14" s="77" t="s">
        <v>701</v>
      </c>
      <c r="B14" s="78" t="s">
        <v>702</v>
      </c>
      <c r="C14" s="79" t="s">
        <v>708</v>
      </c>
      <c r="D14" s="78" t="s">
        <v>557</v>
      </c>
      <c r="E14" s="79">
        <v>27.0</v>
      </c>
      <c r="F14" s="79">
        <v>3352.0</v>
      </c>
      <c r="G14" s="79">
        <v>2370.0</v>
      </c>
      <c r="H14" s="80">
        <v>0.17875</v>
      </c>
      <c r="I14" s="79">
        <v>49.0</v>
      </c>
      <c r="J14" s="81">
        <v>1.8148148148148149</v>
      </c>
      <c r="K14" s="82">
        <v>87.64</v>
      </c>
      <c r="L14" s="83">
        <v>88.08</v>
      </c>
      <c r="M14" s="83">
        <v>85.51</v>
      </c>
      <c r="N14" s="83">
        <v>87.99</v>
      </c>
      <c r="O14" s="83">
        <v>86.17</v>
      </c>
      <c r="P14" s="83">
        <v>90.6</v>
      </c>
      <c r="Q14" s="84">
        <v>0.1479</v>
      </c>
      <c r="R14" s="84">
        <v>0.0199</v>
      </c>
      <c r="S14" s="84">
        <v>0.8321</v>
      </c>
      <c r="T14" s="84">
        <v>0.0028</v>
      </c>
      <c r="U14" s="84">
        <v>0.0811</v>
      </c>
      <c r="V14" s="84">
        <v>0.0228</v>
      </c>
      <c r="W14" s="84">
        <v>0.0541</v>
      </c>
      <c r="X14" s="84">
        <v>0.6885</v>
      </c>
      <c r="Y14" s="84">
        <v>0.0356</v>
      </c>
      <c r="Z14" s="84">
        <v>0.0569</v>
      </c>
      <c r="AA14" s="84">
        <v>0.0071</v>
      </c>
      <c r="AB14" s="84">
        <v>0.0043</v>
      </c>
      <c r="AC14" s="84">
        <v>0.0313</v>
      </c>
      <c r="AD14" s="84">
        <v>0.0028</v>
      </c>
      <c r="AE14" s="65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65"/>
      <c r="BA14" s="65"/>
      <c r="BB14" s="65"/>
      <c r="BC14" s="65"/>
    </row>
    <row r="15">
      <c r="A15" s="77" t="s">
        <v>701</v>
      </c>
      <c r="B15" s="78" t="s">
        <v>706</v>
      </c>
      <c r="C15" s="79" t="s">
        <v>709</v>
      </c>
      <c r="D15" s="78" t="s">
        <v>572</v>
      </c>
      <c r="E15" s="79">
        <v>25.0</v>
      </c>
      <c r="F15" s="79">
        <v>2310.0</v>
      </c>
      <c r="G15" s="79">
        <v>2135.0</v>
      </c>
      <c r="H15" s="80">
        <v>0.14381944444444444</v>
      </c>
      <c r="I15" s="79">
        <v>47.0</v>
      </c>
      <c r="J15" s="81">
        <v>1.88</v>
      </c>
      <c r="K15" s="82">
        <v>89.11</v>
      </c>
      <c r="L15" s="83">
        <v>88.95</v>
      </c>
      <c r="M15" s="83">
        <v>86.97</v>
      </c>
      <c r="N15" s="83">
        <v>88.93</v>
      </c>
      <c r="O15" s="83">
        <v>88.84</v>
      </c>
      <c r="P15" s="83">
        <v>92.36</v>
      </c>
      <c r="Q15" s="84">
        <v>0.1764</v>
      </c>
      <c r="R15" s="84">
        <v>0.0216</v>
      </c>
      <c r="S15" s="84">
        <v>0.802</v>
      </c>
      <c r="T15" s="84">
        <v>0.0</v>
      </c>
      <c r="U15" s="84">
        <v>0.0832</v>
      </c>
      <c r="V15" s="84">
        <v>0.02</v>
      </c>
      <c r="W15" s="84">
        <v>0.0483</v>
      </c>
      <c r="X15" s="84">
        <v>0.7255</v>
      </c>
      <c r="Y15" s="84">
        <v>0.0682</v>
      </c>
      <c r="Z15" s="84">
        <v>0.025</v>
      </c>
      <c r="AA15" s="84">
        <v>0.0033</v>
      </c>
      <c r="AB15" s="84">
        <v>0.005</v>
      </c>
      <c r="AC15" s="84">
        <v>0.0166</v>
      </c>
      <c r="AD15" s="84">
        <v>0.0</v>
      </c>
      <c r="AE15" s="65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65"/>
      <c r="BA15" s="65"/>
      <c r="BB15" s="65"/>
      <c r="BC15" s="65"/>
    </row>
    <row r="16">
      <c r="A16" s="77" t="s">
        <v>701</v>
      </c>
      <c r="B16" s="78" t="s">
        <v>706</v>
      </c>
      <c r="C16" s="79" t="s">
        <v>710</v>
      </c>
      <c r="D16" s="78" t="s">
        <v>580</v>
      </c>
      <c r="E16" s="79">
        <v>25.0</v>
      </c>
      <c r="F16" s="79">
        <v>3079.0</v>
      </c>
      <c r="G16" s="79">
        <v>1864.0</v>
      </c>
      <c r="H16" s="80">
        <v>0.19197916666666667</v>
      </c>
      <c r="I16" s="79">
        <v>30.0</v>
      </c>
      <c r="J16" s="81">
        <v>1.2</v>
      </c>
      <c r="K16" s="82">
        <v>89.94</v>
      </c>
      <c r="L16" s="83">
        <v>89.78</v>
      </c>
      <c r="M16" s="83">
        <v>88.29</v>
      </c>
      <c r="N16" s="83">
        <v>89.74</v>
      </c>
      <c r="O16" s="83">
        <v>88.77</v>
      </c>
      <c r="P16" s="83">
        <v>93.26</v>
      </c>
      <c r="Q16" s="84">
        <v>0.1758</v>
      </c>
      <c r="R16" s="84">
        <v>0.0133</v>
      </c>
      <c r="S16" s="84">
        <v>0.8109</v>
      </c>
      <c r="T16" s="84">
        <v>0.0017</v>
      </c>
      <c r="U16" s="84">
        <v>0.0531</v>
      </c>
      <c r="V16" s="84">
        <v>0.0249</v>
      </c>
      <c r="W16" s="84">
        <v>0.0398</v>
      </c>
      <c r="X16" s="84">
        <v>0.7231</v>
      </c>
      <c r="Y16" s="84">
        <v>0.063</v>
      </c>
      <c r="Z16" s="84">
        <v>0.0514</v>
      </c>
      <c r="AA16" s="84">
        <v>0.0066</v>
      </c>
      <c r="AB16" s="84">
        <v>0.0017</v>
      </c>
      <c r="AC16" s="84">
        <v>0.0332</v>
      </c>
      <c r="AD16" s="84">
        <v>0.0</v>
      </c>
      <c r="AE16" s="65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65"/>
      <c r="BA16" s="65"/>
      <c r="BB16" s="65"/>
      <c r="BC16" s="65"/>
    </row>
    <row r="17">
      <c r="A17" s="77" t="s">
        <v>701</v>
      </c>
      <c r="B17" s="78" t="s">
        <v>702</v>
      </c>
      <c r="C17" s="79" t="s">
        <v>711</v>
      </c>
      <c r="D17" s="78" t="s">
        <v>566</v>
      </c>
      <c r="E17" s="79">
        <v>24.0</v>
      </c>
      <c r="F17" s="79">
        <v>3609.0</v>
      </c>
      <c r="G17" s="79">
        <v>2546.0</v>
      </c>
      <c r="H17" s="80">
        <v>0.13796296296296295</v>
      </c>
      <c r="I17" s="79">
        <v>48.0</v>
      </c>
      <c r="J17" s="81">
        <v>2.0</v>
      </c>
      <c r="K17" s="82">
        <v>87.72</v>
      </c>
      <c r="L17" s="83">
        <v>87.47</v>
      </c>
      <c r="M17" s="83">
        <v>85.18</v>
      </c>
      <c r="N17" s="83">
        <v>86.54</v>
      </c>
      <c r="O17" s="83">
        <v>88.19</v>
      </c>
      <c r="P17" s="83">
        <v>92.12</v>
      </c>
      <c r="Q17" s="84">
        <v>0.1648</v>
      </c>
      <c r="R17" s="84">
        <v>0.0165</v>
      </c>
      <c r="S17" s="84">
        <v>0.8187</v>
      </c>
      <c r="T17" s="84">
        <v>0.0018</v>
      </c>
      <c r="U17" s="84">
        <v>0.0806</v>
      </c>
      <c r="V17" s="84">
        <v>0.0348</v>
      </c>
      <c r="W17" s="84">
        <v>0.044</v>
      </c>
      <c r="X17" s="84">
        <v>0.7289</v>
      </c>
      <c r="Y17" s="84">
        <v>0.0311</v>
      </c>
      <c r="Z17" s="84">
        <v>0.0458</v>
      </c>
      <c r="AA17" s="84">
        <v>0.0037</v>
      </c>
      <c r="AB17" s="84">
        <v>0.0037</v>
      </c>
      <c r="AC17" s="84">
        <v>0.0256</v>
      </c>
      <c r="AD17" s="84">
        <v>0.0037</v>
      </c>
      <c r="AE17" s="65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65"/>
      <c r="BA17" s="65"/>
      <c r="BB17" s="65"/>
      <c r="BC17" s="65"/>
    </row>
    <row r="18">
      <c r="A18" s="77" t="s">
        <v>701</v>
      </c>
      <c r="B18" s="78" t="s">
        <v>706</v>
      </c>
      <c r="C18" s="79" t="s">
        <v>712</v>
      </c>
      <c r="D18" s="78" t="s">
        <v>559</v>
      </c>
      <c r="E18" s="79">
        <v>25.0</v>
      </c>
      <c r="F18" s="79">
        <v>3911.0</v>
      </c>
      <c r="G18" s="79">
        <v>2908.0</v>
      </c>
      <c r="H18" s="80">
        <v>0.15501157407407407</v>
      </c>
      <c r="I18" s="79">
        <v>39.0</v>
      </c>
      <c r="J18" s="81">
        <v>1.56</v>
      </c>
      <c r="K18" s="82">
        <v>88.27</v>
      </c>
      <c r="L18" s="83">
        <v>86.67</v>
      </c>
      <c r="M18" s="83">
        <v>85.45</v>
      </c>
      <c r="N18" s="83">
        <v>86.48</v>
      </c>
      <c r="O18" s="83">
        <v>85.81</v>
      </c>
      <c r="P18" s="83">
        <v>92.09</v>
      </c>
      <c r="Q18" s="84">
        <v>0.1173</v>
      </c>
      <c r="R18" s="84">
        <v>0.0403</v>
      </c>
      <c r="S18" s="84">
        <v>0.8424</v>
      </c>
      <c r="T18" s="84">
        <v>0.0053</v>
      </c>
      <c r="U18" s="84">
        <v>0.0718</v>
      </c>
      <c r="V18" s="84">
        <v>0.0193</v>
      </c>
      <c r="W18" s="84">
        <v>0.0473</v>
      </c>
      <c r="X18" s="84">
        <v>0.627</v>
      </c>
      <c r="Y18" s="84">
        <v>0.0963</v>
      </c>
      <c r="Z18" s="84">
        <v>0.0438</v>
      </c>
      <c r="AA18" s="84">
        <v>0.0263</v>
      </c>
      <c r="AB18" s="84">
        <v>0.0035</v>
      </c>
      <c r="AC18" s="84">
        <v>0.0333</v>
      </c>
      <c r="AD18" s="84">
        <v>0.0053</v>
      </c>
      <c r="AE18" s="65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65"/>
      <c r="BA18" s="65"/>
      <c r="BB18" s="65"/>
      <c r="BC18" s="65"/>
    </row>
    <row r="19">
      <c r="A19" s="77" t="s">
        <v>701</v>
      </c>
      <c r="B19" s="78" t="s">
        <v>706</v>
      </c>
      <c r="C19" s="79" t="s">
        <v>713</v>
      </c>
      <c r="D19" s="78" t="s">
        <v>575</v>
      </c>
      <c r="E19" s="79">
        <v>23.0</v>
      </c>
      <c r="F19" s="79">
        <v>2740.0</v>
      </c>
      <c r="G19" s="79">
        <v>1934.0</v>
      </c>
      <c r="H19" s="80">
        <v>0.12099537037037036</v>
      </c>
      <c r="I19" s="79">
        <v>24.0</v>
      </c>
      <c r="J19" s="81">
        <v>1.0434782608695652</v>
      </c>
      <c r="K19" s="82">
        <v>85.71</v>
      </c>
      <c r="L19" s="83">
        <v>84.9</v>
      </c>
      <c r="M19" s="83">
        <v>83.78</v>
      </c>
      <c r="N19" s="83">
        <v>84.78</v>
      </c>
      <c r="O19" s="83">
        <v>85.59</v>
      </c>
      <c r="P19" s="83">
        <v>90.07</v>
      </c>
      <c r="Q19" s="84">
        <v>0.0874</v>
      </c>
      <c r="R19" s="84">
        <v>0.0175</v>
      </c>
      <c r="S19" s="84">
        <v>0.8951</v>
      </c>
      <c r="T19" s="84">
        <v>0.0019</v>
      </c>
      <c r="U19" s="84">
        <v>0.1029</v>
      </c>
      <c r="V19" s="84">
        <v>0.0058</v>
      </c>
      <c r="W19" s="84">
        <v>0.0835</v>
      </c>
      <c r="X19" s="84">
        <v>0.6233</v>
      </c>
      <c r="Y19" s="84">
        <v>0.0388</v>
      </c>
      <c r="Z19" s="84">
        <v>0.068</v>
      </c>
      <c r="AA19" s="84">
        <v>0.0155</v>
      </c>
      <c r="AB19" s="84">
        <v>0.0019</v>
      </c>
      <c r="AC19" s="84">
        <v>0.0408</v>
      </c>
      <c r="AD19" s="84">
        <v>0.0</v>
      </c>
      <c r="AE19" s="65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65"/>
      <c r="BA19" s="65"/>
      <c r="BB19" s="65"/>
      <c r="BC19" s="65"/>
    </row>
    <row r="20">
      <c r="A20" s="77" t="s">
        <v>701</v>
      </c>
      <c r="B20" s="78" t="s">
        <v>706</v>
      </c>
      <c r="C20" s="79" t="s">
        <v>714</v>
      </c>
      <c r="D20" s="78" t="s">
        <v>578</v>
      </c>
      <c r="E20" s="79">
        <v>22.0</v>
      </c>
      <c r="F20" s="79">
        <v>2395.0</v>
      </c>
      <c r="G20" s="79">
        <v>2236.0</v>
      </c>
      <c r="H20" s="80">
        <v>0.10148148148148148</v>
      </c>
      <c r="I20" s="79">
        <v>27.0</v>
      </c>
      <c r="J20" s="81">
        <v>1.2272727272727273</v>
      </c>
      <c r="K20" s="82">
        <v>88.84</v>
      </c>
      <c r="L20" s="83">
        <v>89.73</v>
      </c>
      <c r="M20" s="83">
        <v>86.0</v>
      </c>
      <c r="N20" s="83">
        <v>87.72</v>
      </c>
      <c r="O20" s="83">
        <v>88.78</v>
      </c>
      <c r="P20" s="83">
        <v>92.49</v>
      </c>
      <c r="Q20" s="84">
        <v>0.2176</v>
      </c>
      <c r="R20" s="84">
        <v>0.0193</v>
      </c>
      <c r="S20" s="84">
        <v>0.7631</v>
      </c>
      <c r="T20" s="84">
        <v>0.0028</v>
      </c>
      <c r="U20" s="84">
        <v>0.0744</v>
      </c>
      <c r="V20" s="84">
        <v>0.011</v>
      </c>
      <c r="W20" s="84">
        <v>0.0496</v>
      </c>
      <c r="X20" s="84">
        <v>0.6915</v>
      </c>
      <c r="Y20" s="84">
        <v>0.0496</v>
      </c>
      <c r="Z20" s="84">
        <v>0.0358</v>
      </c>
      <c r="AA20" s="84">
        <v>0.0028</v>
      </c>
      <c r="AB20" s="84">
        <v>0.0138</v>
      </c>
      <c r="AC20" s="84">
        <v>0.0468</v>
      </c>
      <c r="AD20" s="84">
        <v>0.0028</v>
      </c>
      <c r="AE20" s="65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65"/>
      <c r="BA20" s="65"/>
      <c r="BB20" s="65"/>
      <c r="BC20" s="65"/>
    </row>
    <row r="21">
      <c r="A21" s="77" t="s">
        <v>701</v>
      </c>
      <c r="B21" s="78" t="s">
        <v>702</v>
      </c>
      <c r="C21" s="79" t="s">
        <v>715</v>
      </c>
      <c r="D21" s="78" t="s">
        <v>554</v>
      </c>
      <c r="E21" s="79">
        <v>26.0</v>
      </c>
      <c r="F21" s="79">
        <v>3044.0</v>
      </c>
      <c r="G21" s="79">
        <v>2740.0</v>
      </c>
      <c r="H21" s="80">
        <v>0.15616898148148148</v>
      </c>
      <c r="I21" s="79">
        <v>30.0</v>
      </c>
      <c r="J21" s="81">
        <v>1.1538461538461537</v>
      </c>
      <c r="K21" s="82">
        <v>86.75</v>
      </c>
      <c r="L21" s="83">
        <v>86.93</v>
      </c>
      <c r="M21" s="83">
        <v>85.98</v>
      </c>
      <c r="N21" s="83">
        <v>86.31</v>
      </c>
      <c r="O21" s="83">
        <v>82.99</v>
      </c>
      <c r="P21" s="83">
        <v>90.88</v>
      </c>
      <c r="Q21" s="84">
        <v>0.1199</v>
      </c>
      <c r="R21" s="84">
        <v>0.0182</v>
      </c>
      <c r="S21" s="84">
        <v>0.8619</v>
      </c>
      <c r="T21" s="84">
        <v>0.0046</v>
      </c>
      <c r="U21" s="84">
        <v>0.0895</v>
      </c>
      <c r="V21" s="84">
        <v>0.0106</v>
      </c>
      <c r="W21" s="84">
        <v>0.0698</v>
      </c>
      <c r="X21" s="84">
        <v>0.6935</v>
      </c>
      <c r="Y21" s="84">
        <v>0.0425</v>
      </c>
      <c r="Z21" s="84">
        <v>0.0349</v>
      </c>
      <c r="AA21" s="84">
        <v>0.0121</v>
      </c>
      <c r="AB21" s="84">
        <v>0.0015</v>
      </c>
      <c r="AC21" s="84">
        <v>0.0228</v>
      </c>
      <c r="AD21" s="84">
        <v>0.0</v>
      </c>
      <c r="AE21" s="65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65"/>
      <c r="BA21" s="65"/>
      <c r="BB21" s="65"/>
      <c r="BC21" s="65"/>
    </row>
    <row r="22">
      <c r="A22" s="77" t="s">
        <v>701</v>
      </c>
      <c r="B22" s="78" t="s">
        <v>702</v>
      </c>
      <c r="C22" s="79" t="s">
        <v>716</v>
      </c>
      <c r="D22" s="78" t="s">
        <v>717</v>
      </c>
      <c r="E22" s="79">
        <v>26.0</v>
      </c>
      <c r="F22" s="79">
        <v>3049.0</v>
      </c>
      <c r="G22" s="79">
        <v>2749.0</v>
      </c>
      <c r="H22" s="80">
        <v>0.13024305555555554</v>
      </c>
      <c r="I22" s="79">
        <v>29.0</v>
      </c>
      <c r="J22" s="81">
        <v>1.1153846153846154</v>
      </c>
      <c r="K22" s="82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65"/>
      <c r="AF22" s="56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65"/>
      <c r="AF23" s="56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</row>
    <row r="24">
      <c r="A24" s="54" t="s">
        <v>1</v>
      </c>
      <c r="B24" s="54" t="s">
        <v>700</v>
      </c>
      <c r="C24" s="54" t="s">
        <v>677</v>
      </c>
      <c r="D24" s="54" t="s">
        <v>36</v>
      </c>
      <c r="E24" s="54" t="s">
        <v>37</v>
      </c>
      <c r="F24" s="54" t="s">
        <v>38</v>
      </c>
      <c r="G24" s="54" t="s">
        <v>39</v>
      </c>
      <c r="H24" s="54" t="s">
        <v>678</v>
      </c>
      <c r="I24" s="54" t="s">
        <v>679</v>
      </c>
      <c r="J24" s="54" t="s">
        <v>42</v>
      </c>
      <c r="K24" s="76" t="s">
        <v>245</v>
      </c>
      <c r="L24" s="54" t="s">
        <v>26</v>
      </c>
      <c r="M24" s="54" t="s">
        <v>4</v>
      </c>
      <c r="N24" s="54" t="s">
        <v>6</v>
      </c>
      <c r="O24" s="54" t="s">
        <v>25</v>
      </c>
      <c r="P24" s="54" t="s">
        <v>7</v>
      </c>
      <c r="Q24" s="54" t="s">
        <v>680</v>
      </c>
      <c r="R24" s="54" t="s">
        <v>51</v>
      </c>
      <c r="S24" s="54" t="s">
        <v>681</v>
      </c>
      <c r="T24" s="54" t="s">
        <v>682</v>
      </c>
      <c r="U24" s="54" t="s">
        <v>683</v>
      </c>
      <c r="V24" s="54" t="s">
        <v>684</v>
      </c>
      <c r="W24" s="54" t="s">
        <v>685</v>
      </c>
      <c r="X24" s="54" t="s">
        <v>686</v>
      </c>
      <c r="Y24" s="54" t="s">
        <v>687</v>
      </c>
      <c r="Z24" s="54" t="s">
        <v>688</v>
      </c>
      <c r="AA24" s="54" t="s">
        <v>689</v>
      </c>
      <c r="AB24" s="54" t="s">
        <v>690</v>
      </c>
      <c r="AC24" s="54" t="s">
        <v>691</v>
      </c>
      <c r="AD24" s="54" t="s">
        <v>692</v>
      </c>
      <c r="AE24" s="65"/>
      <c r="AF24" s="57" t="s">
        <v>53</v>
      </c>
      <c r="AG24" s="57" t="s">
        <v>53</v>
      </c>
      <c r="AH24" s="57" t="s">
        <v>53</v>
      </c>
      <c r="AI24" s="57" t="s">
        <v>53</v>
      </c>
      <c r="AJ24" s="57" t="s">
        <v>53</v>
      </c>
      <c r="AK24" s="57" t="s">
        <v>53</v>
      </c>
      <c r="AL24" s="57" t="s">
        <v>53</v>
      </c>
      <c r="AM24" s="57" t="s">
        <v>53</v>
      </c>
      <c r="AN24" s="57" t="s">
        <v>53</v>
      </c>
      <c r="AO24" s="57" t="s">
        <v>53</v>
      </c>
      <c r="AP24" s="57" t="s">
        <v>53</v>
      </c>
      <c r="AQ24" s="57" t="s">
        <v>53</v>
      </c>
      <c r="AR24" s="57" t="s">
        <v>53</v>
      </c>
      <c r="AS24" s="57" t="s">
        <v>53</v>
      </c>
      <c r="AT24" s="57" t="s">
        <v>53</v>
      </c>
      <c r="AU24" s="57" t="s">
        <v>53</v>
      </c>
      <c r="AV24" s="57" t="s">
        <v>53</v>
      </c>
      <c r="AW24" s="57" t="s">
        <v>53</v>
      </c>
      <c r="AX24" s="57" t="s">
        <v>53</v>
      </c>
      <c r="AY24" s="57" t="s">
        <v>53</v>
      </c>
      <c r="AZ24" s="65"/>
      <c r="BA24" s="65"/>
      <c r="BB24" s="65"/>
      <c r="BC24" s="65"/>
    </row>
    <row r="25">
      <c r="A25" s="77" t="s">
        <v>718</v>
      </c>
      <c r="B25" s="78" t="s">
        <v>719</v>
      </c>
      <c r="C25" s="79" t="s">
        <v>720</v>
      </c>
      <c r="D25" s="78" t="s">
        <v>589</v>
      </c>
      <c r="E25" s="79">
        <v>26.0</v>
      </c>
      <c r="F25" s="79">
        <v>3086.0</v>
      </c>
      <c r="G25" s="79">
        <v>2323.0</v>
      </c>
      <c r="H25" s="80">
        <v>0.16501157407407407</v>
      </c>
      <c r="I25" s="79">
        <v>49.0</v>
      </c>
      <c r="J25" s="81">
        <v>1.8846153846153846</v>
      </c>
      <c r="K25" s="87">
        <v>86.37</v>
      </c>
      <c r="L25" s="83">
        <v>85.84</v>
      </c>
      <c r="M25" s="83">
        <v>83.71</v>
      </c>
      <c r="N25" s="83">
        <v>86.88</v>
      </c>
      <c r="O25" s="83">
        <v>84.06</v>
      </c>
      <c r="P25" s="83">
        <v>91.53</v>
      </c>
      <c r="Q25" s="84">
        <v>0.1178</v>
      </c>
      <c r="R25" s="84">
        <v>0.032</v>
      </c>
      <c r="S25" s="84">
        <v>0.8502</v>
      </c>
      <c r="T25" s="84">
        <v>0.0</v>
      </c>
      <c r="U25" s="84">
        <v>0.096</v>
      </c>
      <c r="V25" s="84">
        <v>0.0421</v>
      </c>
      <c r="W25" s="84">
        <v>0.0236</v>
      </c>
      <c r="X25" s="84">
        <v>0.6549</v>
      </c>
      <c r="Y25" s="84">
        <v>0.0505</v>
      </c>
      <c r="Z25" s="84">
        <v>0.0707</v>
      </c>
      <c r="AA25" s="84">
        <v>0.0219</v>
      </c>
      <c r="AB25" s="84">
        <v>0.0067</v>
      </c>
      <c r="AC25" s="84">
        <v>0.0135</v>
      </c>
      <c r="AD25" s="84">
        <v>0.0017</v>
      </c>
      <c r="AE25" s="65"/>
      <c r="AF25" s="58">
        <f t="shared" ref="AF25:AY25" si="3">CORREL($J$25:$J$31,K25:K31)</f>
        <v>-0.420324893</v>
      </c>
      <c r="AG25" s="58">
        <f t="shared" si="3"/>
        <v>-0.3563195111</v>
      </c>
      <c r="AH25" s="58">
        <f t="shared" si="3"/>
        <v>-0.2306105363</v>
      </c>
      <c r="AI25" s="58">
        <f t="shared" si="3"/>
        <v>-0.2656377742</v>
      </c>
      <c r="AJ25" s="58">
        <f t="shared" si="3"/>
        <v>-0.5514608646</v>
      </c>
      <c r="AK25" s="58">
        <f t="shared" si="3"/>
        <v>-0.5391839749</v>
      </c>
      <c r="AL25" s="58">
        <f t="shared" si="3"/>
        <v>0.7440464732</v>
      </c>
      <c r="AM25" s="58">
        <f t="shared" si="3"/>
        <v>0.239413979</v>
      </c>
      <c r="AN25" s="58">
        <f t="shared" si="3"/>
        <v>-0.8577787894</v>
      </c>
      <c r="AO25" s="58">
        <f t="shared" si="3"/>
        <v>0.4735170352</v>
      </c>
      <c r="AP25" s="58">
        <f t="shared" si="3"/>
        <v>-0.7344505634</v>
      </c>
      <c r="AQ25" s="58">
        <f t="shared" si="3"/>
        <v>0.5102967343</v>
      </c>
      <c r="AR25" s="58">
        <f t="shared" si="3"/>
        <v>0.5447488814</v>
      </c>
      <c r="AS25" s="58">
        <f t="shared" si="3"/>
        <v>-0.3429587915</v>
      </c>
      <c r="AT25" s="58">
        <f t="shared" si="3"/>
        <v>-0.7628186006</v>
      </c>
      <c r="AU25" s="58">
        <f t="shared" si="3"/>
        <v>0.3788779257</v>
      </c>
      <c r="AV25" s="58">
        <f t="shared" si="3"/>
        <v>0.06872606519</v>
      </c>
      <c r="AW25" s="58">
        <f t="shared" si="3"/>
        <v>0.1559974369</v>
      </c>
      <c r="AX25" s="58">
        <f t="shared" si="3"/>
        <v>0.6980101311</v>
      </c>
      <c r="AY25" s="58">
        <f t="shared" si="3"/>
        <v>0.0769420813</v>
      </c>
      <c r="AZ25" s="65"/>
      <c r="BA25" s="65"/>
      <c r="BB25" s="65"/>
      <c r="BC25" s="65"/>
    </row>
    <row r="26">
      <c r="A26" s="77" t="s">
        <v>718</v>
      </c>
      <c r="B26" s="78" t="s">
        <v>719</v>
      </c>
      <c r="C26" s="79" t="s">
        <v>721</v>
      </c>
      <c r="D26" s="78" t="s">
        <v>593</v>
      </c>
      <c r="E26" s="79">
        <v>26.0</v>
      </c>
      <c r="F26" s="79">
        <v>4055.0</v>
      </c>
      <c r="G26" s="79">
        <v>3307.0</v>
      </c>
      <c r="H26" s="80">
        <v>0.13078703703703703</v>
      </c>
      <c r="I26" s="79">
        <v>54.0</v>
      </c>
      <c r="J26" s="81">
        <v>2.076923076923077</v>
      </c>
      <c r="K26" s="87">
        <v>85.83</v>
      </c>
      <c r="L26" s="83">
        <v>85.83</v>
      </c>
      <c r="M26" s="83">
        <v>85.27</v>
      </c>
      <c r="N26" s="83">
        <v>86.76</v>
      </c>
      <c r="O26" s="83">
        <v>78.42</v>
      </c>
      <c r="P26" s="83">
        <v>91.24</v>
      </c>
      <c r="Q26" s="84">
        <v>0.1788</v>
      </c>
      <c r="R26" s="84">
        <v>0.0166</v>
      </c>
      <c r="S26" s="84">
        <v>0.8046</v>
      </c>
      <c r="T26" s="84">
        <v>0.0017</v>
      </c>
      <c r="U26" s="84">
        <v>0.0579</v>
      </c>
      <c r="V26" s="84">
        <v>0.0215</v>
      </c>
      <c r="W26" s="84">
        <v>0.106</v>
      </c>
      <c r="X26" s="84">
        <v>0.707</v>
      </c>
      <c r="Y26" s="84">
        <v>0.043</v>
      </c>
      <c r="Z26" s="84">
        <v>0.0182</v>
      </c>
      <c r="AA26" s="84">
        <v>0.0</v>
      </c>
      <c r="AB26" s="84">
        <v>0.0033</v>
      </c>
      <c r="AC26" s="84">
        <v>0.0298</v>
      </c>
      <c r="AD26" s="84">
        <v>0.0017</v>
      </c>
      <c r="AE26" s="65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65"/>
      <c r="BA26" s="65"/>
      <c r="BB26" s="65"/>
      <c r="BC26" s="65"/>
    </row>
    <row r="27">
      <c r="A27" s="77" t="s">
        <v>718</v>
      </c>
      <c r="B27" s="78" t="s">
        <v>719</v>
      </c>
      <c r="C27" s="79" t="s">
        <v>722</v>
      </c>
      <c r="D27" s="78" t="s">
        <v>585</v>
      </c>
      <c r="E27" s="79">
        <v>22.0</v>
      </c>
      <c r="F27" s="79">
        <v>2489.0</v>
      </c>
      <c r="G27" s="79">
        <v>2628.0</v>
      </c>
      <c r="H27" s="80">
        <v>0.13456018518518517</v>
      </c>
      <c r="I27" s="79">
        <v>51.0</v>
      </c>
      <c r="J27" s="81">
        <v>2.3181818181818183</v>
      </c>
      <c r="K27" s="87">
        <v>84.37</v>
      </c>
      <c r="L27" s="83">
        <v>85.93</v>
      </c>
      <c r="M27" s="83">
        <v>82.01</v>
      </c>
      <c r="N27" s="83">
        <v>83.73</v>
      </c>
      <c r="O27" s="83">
        <v>79.71</v>
      </c>
      <c r="P27" s="83">
        <v>89.87</v>
      </c>
      <c r="Q27" s="84">
        <v>0.1635</v>
      </c>
      <c r="R27" s="84">
        <v>0.0285</v>
      </c>
      <c r="S27" s="84">
        <v>0.808</v>
      </c>
      <c r="T27" s="84">
        <v>0.0038</v>
      </c>
      <c r="U27" s="84">
        <v>0.0665</v>
      </c>
      <c r="V27" s="84">
        <v>0.0209</v>
      </c>
      <c r="W27" s="84">
        <v>0.1046</v>
      </c>
      <c r="X27" s="84">
        <v>0.6578</v>
      </c>
      <c r="Y27" s="84">
        <v>0.0361</v>
      </c>
      <c r="Z27" s="84">
        <v>0.0494</v>
      </c>
      <c r="AA27" s="84">
        <v>0.0171</v>
      </c>
      <c r="AB27" s="84">
        <v>0.0038</v>
      </c>
      <c r="AC27" s="84">
        <v>0.0361</v>
      </c>
      <c r="AD27" s="84">
        <v>0.0019</v>
      </c>
      <c r="AE27" s="65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65"/>
      <c r="BA27" s="65"/>
      <c r="BB27" s="65"/>
      <c r="BC27" s="65"/>
    </row>
    <row r="28">
      <c r="A28" s="77" t="s">
        <v>718</v>
      </c>
      <c r="B28" s="78" t="s">
        <v>719</v>
      </c>
      <c r="C28" s="79" t="s">
        <v>723</v>
      </c>
      <c r="D28" s="78" t="s">
        <v>587</v>
      </c>
      <c r="E28" s="79">
        <v>22.0</v>
      </c>
      <c r="F28" s="79">
        <v>2613.0</v>
      </c>
      <c r="G28" s="79">
        <v>2467.0</v>
      </c>
      <c r="H28" s="80">
        <v>0.14883101851851852</v>
      </c>
      <c r="I28" s="79">
        <v>36.0</v>
      </c>
      <c r="J28" s="81">
        <v>1.6363636363636365</v>
      </c>
      <c r="K28" s="87">
        <v>87.37</v>
      </c>
      <c r="L28" s="83">
        <v>86.89</v>
      </c>
      <c r="M28" s="83">
        <v>85.6</v>
      </c>
      <c r="N28" s="83">
        <v>86.84</v>
      </c>
      <c r="O28" s="83">
        <v>85.92</v>
      </c>
      <c r="P28" s="83">
        <v>91.96</v>
      </c>
      <c r="Q28" s="84">
        <v>0.1066</v>
      </c>
      <c r="R28" s="84">
        <v>0.0362</v>
      </c>
      <c r="S28" s="84">
        <v>0.8571</v>
      </c>
      <c r="T28" s="84">
        <v>0.002</v>
      </c>
      <c r="U28" s="84">
        <v>0.0584</v>
      </c>
      <c r="V28" s="84">
        <v>0.0181</v>
      </c>
      <c r="W28" s="84">
        <v>0.0845</v>
      </c>
      <c r="X28" s="84">
        <v>0.6499</v>
      </c>
      <c r="Y28" s="84">
        <v>0.0523</v>
      </c>
      <c r="Z28" s="84">
        <v>0.0563</v>
      </c>
      <c r="AA28" s="84">
        <v>0.0161</v>
      </c>
      <c r="AB28" s="84">
        <v>0.008</v>
      </c>
      <c r="AC28" s="84">
        <v>0.0322</v>
      </c>
      <c r="AD28" s="84">
        <v>0.006</v>
      </c>
      <c r="AE28" s="65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65"/>
      <c r="BA28" s="65"/>
      <c r="BB28" s="65"/>
      <c r="BC28" s="65"/>
    </row>
    <row r="29">
      <c r="A29" s="77" t="s">
        <v>718</v>
      </c>
      <c r="B29" s="78" t="s">
        <v>719</v>
      </c>
      <c r="C29" s="79" t="s">
        <v>724</v>
      </c>
      <c r="D29" s="78" t="s">
        <v>582</v>
      </c>
      <c r="E29" s="79">
        <v>26.0</v>
      </c>
      <c r="F29" s="79">
        <v>4222.0</v>
      </c>
      <c r="G29" s="79">
        <v>3136.0</v>
      </c>
      <c r="H29" s="80">
        <v>0.16089120370370372</v>
      </c>
      <c r="I29" s="79">
        <v>32.0</v>
      </c>
      <c r="J29" s="81">
        <v>1.2307692307692308</v>
      </c>
      <c r="K29" s="87">
        <v>85.18</v>
      </c>
      <c r="L29" s="83">
        <v>85.74</v>
      </c>
      <c r="M29" s="83">
        <v>82.91</v>
      </c>
      <c r="N29" s="83">
        <v>84.67</v>
      </c>
      <c r="O29" s="83">
        <v>80.63</v>
      </c>
      <c r="P29" s="83">
        <v>91.44</v>
      </c>
      <c r="Q29" s="84">
        <v>0.0972</v>
      </c>
      <c r="R29" s="84">
        <v>0.0216</v>
      </c>
      <c r="S29" s="84">
        <v>0.8812</v>
      </c>
      <c r="T29" s="84">
        <v>0.0</v>
      </c>
      <c r="U29" s="84">
        <v>0.1188</v>
      </c>
      <c r="V29" s="84">
        <v>0.0162</v>
      </c>
      <c r="W29" s="84">
        <v>0.0702</v>
      </c>
      <c r="X29" s="84">
        <v>0.6613</v>
      </c>
      <c r="Y29" s="84">
        <v>0.0459</v>
      </c>
      <c r="Z29" s="84">
        <v>0.027</v>
      </c>
      <c r="AA29" s="84">
        <v>0.0229</v>
      </c>
      <c r="AB29" s="84">
        <v>0.004</v>
      </c>
      <c r="AC29" s="84">
        <v>0.0175</v>
      </c>
      <c r="AD29" s="84">
        <v>0.0</v>
      </c>
      <c r="AE29" s="65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65"/>
      <c r="BA29" s="65"/>
      <c r="BB29" s="65"/>
      <c r="BC29" s="65"/>
    </row>
    <row r="30">
      <c r="A30" s="77" t="s">
        <v>718</v>
      </c>
      <c r="B30" s="78" t="s">
        <v>719</v>
      </c>
      <c r="C30" s="79" t="s">
        <v>725</v>
      </c>
      <c r="D30" s="78" t="s">
        <v>595</v>
      </c>
      <c r="E30" s="79">
        <v>15.0</v>
      </c>
      <c r="F30" s="79">
        <v>1680.0</v>
      </c>
      <c r="G30" s="79">
        <v>1539.0</v>
      </c>
      <c r="H30" s="80">
        <v>0.20526620370370371</v>
      </c>
      <c r="I30" s="79">
        <v>18.0</v>
      </c>
      <c r="J30" s="81">
        <v>1.2</v>
      </c>
      <c r="K30" s="87">
        <v>90.15</v>
      </c>
      <c r="L30" s="83">
        <v>90.1</v>
      </c>
      <c r="M30" s="83">
        <v>86.85</v>
      </c>
      <c r="N30" s="83">
        <v>90.4</v>
      </c>
      <c r="O30" s="83">
        <v>90.83</v>
      </c>
      <c r="P30" s="83">
        <v>93.54</v>
      </c>
      <c r="Q30" s="84">
        <v>0.1341</v>
      </c>
      <c r="R30" s="84">
        <v>0.0171</v>
      </c>
      <c r="S30" s="84">
        <v>0.8488</v>
      </c>
      <c r="T30" s="84">
        <v>0.0</v>
      </c>
      <c r="U30" s="84">
        <v>0.1</v>
      </c>
      <c r="V30" s="84">
        <v>0.0122</v>
      </c>
      <c r="W30" s="84">
        <v>0.0512</v>
      </c>
      <c r="X30" s="84">
        <v>0.7659</v>
      </c>
      <c r="Y30" s="84">
        <v>0.0659</v>
      </c>
      <c r="Z30" s="84">
        <v>0.0</v>
      </c>
      <c r="AA30" s="84">
        <v>0.0</v>
      </c>
      <c r="AB30" s="84">
        <v>0.0</v>
      </c>
      <c r="AC30" s="84">
        <v>0.0049</v>
      </c>
      <c r="AD30" s="84">
        <v>0.0</v>
      </c>
      <c r="AE30" s="65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65"/>
      <c r="BA30" s="65"/>
      <c r="BB30" s="65"/>
      <c r="BC30" s="65"/>
    </row>
    <row r="31">
      <c r="A31" s="77" t="s">
        <v>718</v>
      </c>
      <c r="B31" s="78" t="s">
        <v>719</v>
      </c>
      <c r="C31" s="79" t="s">
        <v>726</v>
      </c>
      <c r="D31" s="78" t="s">
        <v>591</v>
      </c>
      <c r="E31" s="79">
        <v>24.0</v>
      </c>
      <c r="F31" s="79">
        <v>3152.0</v>
      </c>
      <c r="G31" s="79">
        <v>2844.0</v>
      </c>
      <c r="H31" s="80">
        <v>0.15895833333333334</v>
      </c>
      <c r="I31" s="79">
        <v>31.0</v>
      </c>
      <c r="J31" s="81">
        <v>1.2916666666666667</v>
      </c>
      <c r="K31" s="87">
        <v>84.81</v>
      </c>
      <c r="L31" s="83">
        <v>85.04</v>
      </c>
      <c r="M31" s="83">
        <v>82.37</v>
      </c>
      <c r="N31" s="83">
        <v>83.84</v>
      </c>
      <c r="O31" s="83">
        <v>82.39</v>
      </c>
      <c r="P31" s="83">
        <v>90.4</v>
      </c>
      <c r="Q31" s="84">
        <v>0.0957</v>
      </c>
      <c r="R31" s="84">
        <v>0.0262</v>
      </c>
      <c r="S31" s="84">
        <v>0.8781</v>
      </c>
      <c r="T31" s="84">
        <v>0.0031</v>
      </c>
      <c r="U31" s="84">
        <v>0.1003</v>
      </c>
      <c r="V31" s="84">
        <v>0.0139</v>
      </c>
      <c r="W31" s="84">
        <v>0.0417</v>
      </c>
      <c r="X31" s="84">
        <v>0.6759</v>
      </c>
      <c r="Y31" s="84">
        <v>0.071</v>
      </c>
      <c r="Z31" s="84">
        <v>0.0478</v>
      </c>
      <c r="AA31" s="84">
        <v>0.0108</v>
      </c>
      <c r="AB31" s="84">
        <v>0.0062</v>
      </c>
      <c r="AC31" s="84">
        <v>0.0201</v>
      </c>
      <c r="AD31" s="84">
        <v>0.0046</v>
      </c>
      <c r="AE31" s="65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65"/>
      <c r="BA31" s="65"/>
      <c r="BB31" s="65"/>
      <c r="BC31" s="65"/>
    </row>
    <row r="32">
      <c r="A32" s="85"/>
      <c r="B32" s="85"/>
      <c r="C32" s="88"/>
      <c r="D32" s="85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65"/>
      <c r="AF32" s="56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</row>
    <row r="33">
      <c r="A33" s="54" t="s">
        <v>1</v>
      </c>
      <c r="B33" s="54" t="s">
        <v>700</v>
      </c>
      <c r="C33" s="54" t="s">
        <v>677</v>
      </c>
      <c r="D33" s="54" t="s">
        <v>36</v>
      </c>
      <c r="E33" s="54" t="s">
        <v>37</v>
      </c>
      <c r="F33" s="54" t="s">
        <v>38</v>
      </c>
      <c r="G33" s="54" t="s">
        <v>39</v>
      </c>
      <c r="H33" s="54" t="s">
        <v>678</v>
      </c>
      <c r="I33" s="54" t="s">
        <v>679</v>
      </c>
      <c r="J33" s="54" t="s">
        <v>42</v>
      </c>
      <c r="K33" s="76" t="s">
        <v>245</v>
      </c>
      <c r="L33" s="54" t="s">
        <v>26</v>
      </c>
      <c r="M33" s="54" t="s">
        <v>4</v>
      </c>
      <c r="N33" s="54" t="s">
        <v>6</v>
      </c>
      <c r="O33" s="54" t="s">
        <v>25</v>
      </c>
      <c r="P33" s="54" t="s">
        <v>7</v>
      </c>
      <c r="Q33" s="54" t="s">
        <v>680</v>
      </c>
      <c r="R33" s="54" t="s">
        <v>51</v>
      </c>
      <c r="S33" s="54" t="s">
        <v>681</v>
      </c>
      <c r="T33" s="54" t="s">
        <v>682</v>
      </c>
      <c r="U33" s="54" t="s">
        <v>683</v>
      </c>
      <c r="V33" s="54" t="s">
        <v>684</v>
      </c>
      <c r="W33" s="54" t="s">
        <v>685</v>
      </c>
      <c r="X33" s="54" t="s">
        <v>686</v>
      </c>
      <c r="Y33" s="54" t="s">
        <v>687</v>
      </c>
      <c r="Z33" s="54" t="s">
        <v>688</v>
      </c>
      <c r="AA33" s="54" t="s">
        <v>689</v>
      </c>
      <c r="AB33" s="54" t="s">
        <v>690</v>
      </c>
      <c r="AC33" s="54" t="s">
        <v>691</v>
      </c>
      <c r="AD33" s="54" t="s">
        <v>692</v>
      </c>
      <c r="AE33" s="65"/>
      <c r="AF33" s="57" t="s">
        <v>53</v>
      </c>
      <c r="AG33" s="57" t="s">
        <v>53</v>
      </c>
      <c r="AH33" s="57" t="s">
        <v>53</v>
      </c>
      <c r="AI33" s="57" t="s">
        <v>53</v>
      </c>
      <c r="AJ33" s="57" t="s">
        <v>53</v>
      </c>
      <c r="AK33" s="57" t="s">
        <v>53</v>
      </c>
      <c r="AL33" s="57" t="s">
        <v>53</v>
      </c>
      <c r="AM33" s="57" t="s">
        <v>53</v>
      </c>
      <c r="AN33" s="57" t="s">
        <v>53</v>
      </c>
      <c r="AO33" s="57" t="s">
        <v>53</v>
      </c>
      <c r="AP33" s="57" t="s">
        <v>53</v>
      </c>
      <c r="AQ33" s="57" t="s">
        <v>53</v>
      </c>
      <c r="AR33" s="57" t="s">
        <v>53</v>
      </c>
      <c r="AS33" s="57" t="s">
        <v>53</v>
      </c>
      <c r="AT33" s="57" t="s">
        <v>53</v>
      </c>
      <c r="AU33" s="57" t="s">
        <v>53</v>
      </c>
      <c r="AV33" s="57" t="s">
        <v>53</v>
      </c>
      <c r="AW33" s="57" t="s">
        <v>53</v>
      </c>
      <c r="AX33" s="57" t="s">
        <v>53</v>
      </c>
      <c r="AY33" s="57" t="s">
        <v>53</v>
      </c>
      <c r="AZ33" s="65"/>
      <c r="BA33" s="65"/>
      <c r="BB33" s="65"/>
      <c r="BC33" s="65"/>
    </row>
    <row r="34">
      <c r="A34" s="77" t="s">
        <v>727</v>
      </c>
      <c r="B34" s="78" t="s">
        <v>728</v>
      </c>
      <c r="C34" s="79" t="s">
        <v>729</v>
      </c>
      <c r="D34" s="78" t="s">
        <v>615</v>
      </c>
      <c r="E34" s="79">
        <v>1.0</v>
      </c>
      <c r="F34" s="79">
        <v>170.0</v>
      </c>
      <c r="G34" s="79">
        <v>106.0</v>
      </c>
      <c r="H34" s="80">
        <v>0.19512731481481482</v>
      </c>
      <c r="I34" s="79">
        <v>7.0</v>
      </c>
      <c r="J34" s="81">
        <v>7.0</v>
      </c>
      <c r="K34" s="87">
        <v>79.68</v>
      </c>
      <c r="L34" s="83">
        <v>81.94</v>
      </c>
      <c r="M34" s="83">
        <v>77.42</v>
      </c>
      <c r="N34" s="83">
        <v>74.84</v>
      </c>
      <c r="O34" s="83">
        <v>78.39</v>
      </c>
      <c r="P34" s="83">
        <v>85.81</v>
      </c>
      <c r="Q34" s="84">
        <v>0.0313</v>
      </c>
      <c r="R34" s="84">
        <v>0.0938</v>
      </c>
      <c r="S34" s="84">
        <v>0.875</v>
      </c>
      <c r="T34" s="84">
        <v>0.0</v>
      </c>
      <c r="U34" s="84">
        <v>0.0</v>
      </c>
      <c r="V34" s="84">
        <v>0.0</v>
      </c>
      <c r="W34" s="84">
        <v>0.0</v>
      </c>
      <c r="X34" s="84">
        <v>0.0</v>
      </c>
      <c r="Y34" s="84">
        <v>0.0</v>
      </c>
      <c r="Z34" s="84">
        <v>0.5938</v>
      </c>
      <c r="AA34" s="84">
        <v>0.3125</v>
      </c>
      <c r="AB34" s="84">
        <v>0.0</v>
      </c>
      <c r="AC34" s="84">
        <v>0.0938</v>
      </c>
      <c r="AD34" s="84">
        <v>0.0</v>
      </c>
      <c r="AE34" s="65"/>
      <c r="AF34" s="58">
        <f t="shared" ref="AF34:AY34" si="4">CORREL($J$34:$J$52,K34:K52)</f>
        <v>-0.4917081845</v>
      </c>
      <c r="AG34" s="58">
        <f t="shared" si="4"/>
        <v>-0.3327070616</v>
      </c>
      <c r="AH34" s="58">
        <f t="shared" si="4"/>
        <v>-0.3894417516</v>
      </c>
      <c r="AI34" s="58">
        <f t="shared" si="4"/>
        <v>-0.6198719813</v>
      </c>
      <c r="AJ34" s="58">
        <f t="shared" si="4"/>
        <v>-0.5107284758</v>
      </c>
      <c r="AK34" s="58">
        <f t="shared" si="4"/>
        <v>-0.5176064546</v>
      </c>
      <c r="AL34" s="58">
        <f t="shared" si="4"/>
        <v>-0.3981439023</v>
      </c>
      <c r="AM34" s="58">
        <f t="shared" si="4"/>
        <v>0.8091492136</v>
      </c>
      <c r="AN34" s="58">
        <f t="shared" si="4"/>
        <v>-0.05435644494</v>
      </c>
      <c r="AO34" s="58">
        <f t="shared" si="4"/>
        <v>-0.3089054297</v>
      </c>
      <c r="AP34" s="58">
        <f t="shared" si="4"/>
        <v>-0.6262910023</v>
      </c>
      <c r="AQ34" s="58">
        <f t="shared" si="4"/>
        <v>-0.2924101166</v>
      </c>
      <c r="AR34" s="58">
        <f t="shared" si="4"/>
        <v>-0.3233847811</v>
      </c>
      <c r="AS34" s="58">
        <f t="shared" si="4"/>
        <v>-0.9141382814</v>
      </c>
      <c r="AT34" s="58">
        <f t="shared" si="4"/>
        <v>-0.5658102186</v>
      </c>
      <c r="AU34" s="58">
        <f t="shared" si="4"/>
        <v>0.9465250233</v>
      </c>
      <c r="AV34" s="58">
        <f t="shared" si="4"/>
        <v>0.9383195919</v>
      </c>
      <c r="AW34" s="58">
        <f t="shared" si="4"/>
        <v>-0.2258059372</v>
      </c>
      <c r="AX34" s="58">
        <f t="shared" si="4"/>
        <v>0.8957664703</v>
      </c>
      <c r="AY34" s="58">
        <f t="shared" si="4"/>
        <v>-0.3112696044</v>
      </c>
      <c r="AZ34" s="65"/>
      <c r="BA34" s="65"/>
      <c r="BB34" s="65"/>
      <c r="BC34" s="65"/>
    </row>
    <row r="35">
      <c r="A35" s="77" t="s">
        <v>727</v>
      </c>
      <c r="B35" s="78" t="s">
        <v>728</v>
      </c>
      <c r="C35" s="79" t="s">
        <v>730</v>
      </c>
      <c r="D35" s="78" t="s">
        <v>631</v>
      </c>
      <c r="E35" s="79">
        <v>19.0</v>
      </c>
      <c r="F35" s="79">
        <v>2537.0</v>
      </c>
      <c r="G35" s="79">
        <v>1929.0</v>
      </c>
      <c r="H35" s="80">
        <v>0.19224537037037037</v>
      </c>
      <c r="I35" s="79">
        <v>33.0</v>
      </c>
      <c r="J35" s="81">
        <v>1.736842105263158</v>
      </c>
      <c r="K35" s="87">
        <v>89.26</v>
      </c>
      <c r="L35" s="83">
        <v>89.63</v>
      </c>
      <c r="M35" s="83">
        <v>87.25</v>
      </c>
      <c r="N35" s="83">
        <v>89.01</v>
      </c>
      <c r="O35" s="83">
        <v>86.09</v>
      </c>
      <c r="P35" s="83">
        <v>94.05</v>
      </c>
      <c r="Q35" s="84">
        <v>0.1297</v>
      </c>
      <c r="R35" s="84">
        <v>0.0144</v>
      </c>
      <c r="S35" s="84">
        <v>0.8559</v>
      </c>
      <c r="T35" s="84">
        <v>0.0036</v>
      </c>
      <c r="U35" s="84">
        <v>0.0919</v>
      </c>
      <c r="V35" s="84">
        <v>0.0234</v>
      </c>
      <c r="W35" s="84">
        <v>0.0829</v>
      </c>
      <c r="X35" s="84">
        <v>0.6414</v>
      </c>
      <c r="Y35" s="84">
        <v>0.0919</v>
      </c>
      <c r="Z35" s="84">
        <v>0.0324</v>
      </c>
      <c r="AA35" s="84">
        <v>0.009</v>
      </c>
      <c r="AB35" s="84">
        <v>0.0</v>
      </c>
      <c r="AC35" s="84">
        <v>0.0234</v>
      </c>
      <c r="AD35" s="84">
        <v>0.0</v>
      </c>
      <c r="AE35" s="65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65"/>
      <c r="BA35" s="65"/>
      <c r="BB35" s="65"/>
      <c r="BC35" s="65"/>
    </row>
    <row r="36">
      <c r="A36" s="77" t="s">
        <v>727</v>
      </c>
      <c r="B36" s="78" t="s">
        <v>728</v>
      </c>
      <c r="C36" s="79" t="s">
        <v>731</v>
      </c>
      <c r="D36" s="78" t="s">
        <v>623</v>
      </c>
      <c r="E36" s="79">
        <v>27.0</v>
      </c>
      <c r="F36" s="79">
        <v>4137.0</v>
      </c>
      <c r="G36" s="79">
        <v>2914.0</v>
      </c>
      <c r="H36" s="80">
        <v>0.19666666666666666</v>
      </c>
      <c r="I36" s="79">
        <v>47.0</v>
      </c>
      <c r="J36" s="81">
        <v>1.7407407407407407</v>
      </c>
      <c r="K36" s="87">
        <v>89.58</v>
      </c>
      <c r="L36" s="83">
        <v>89.73</v>
      </c>
      <c r="M36" s="83">
        <v>87.16</v>
      </c>
      <c r="N36" s="83">
        <v>88.67</v>
      </c>
      <c r="O36" s="83">
        <v>89.22</v>
      </c>
      <c r="P36" s="83">
        <v>93.59</v>
      </c>
      <c r="Q36" s="84">
        <v>0.1363</v>
      </c>
      <c r="R36" s="84">
        <v>0.0249</v>
      </c>
      <c r="S36" s="84">
        <v>0.8388</v>
      </c>
      <c r="T36" s="84">
        <v>0.0052</v>
      </c>
      <c r="U36" s="84">
        <v>0.0983</v>
      </c>
      <c r="V36" s="84">
        <v>0.0118</v>
      </c>
      <c r="W36" s="84">
        <v>0.0511</v>
      </c>
      <c r="X36" s="84">
        <v>0.6815</v>
      </c>
      <c r="Y36" s="84">
        <v>0.0485</v>
      </c>
      <c r="Z36" s="84">
        <v>0.0472</v>
      </c>
      <c r="AA36" s="84">
        <v>0.0092</v>
      </c>
      <c r="AB36" s="84">
        <v>0.0026</v>
      </c>
      <c r="AC36" s="84">
        <v>0.0183</v>
      </c>
      <c r="AD36" s="84">
        <v>0.0052</v>
      </c>
      <c r="AE36" s="65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65"/>
      <c r="BA36" s="65"/>
      <c r="BB36" s="65"/>
      <c r="BC36" s="65"/>
    </row>
    <row r="37">
      <c r="A37" s="77" t="s">
        <v>727</v>
      </c>
      <c r="B37" s="78" t="s">
        <v>732</v>
      </c>
      <c r="C37" s="79" t="s">
        <v>733</v>
      </c>
      <c r="D37" s="78" t="s">
        <v>617</v>
      </c>
      <c r="E37" s="79">
        <v>25.0</v>
      </c>
      <c r="F37" s="79">
        <v>2350.0</v>
      </c>
      <c r="G37" s="79">
        <v>1851.0</v>
      </c>
      <c r="H37" s="80">
        <v>0.20653935185185185</v>
      </c>
      <c r="I37" s="79">
        <v>33.0</v>
      </c>
      <c r="J37" s="81">
        <v>1.32</v>
      </c>
      <c r="K37" s="87">
        <v>90.08</v>
      </c>
      <c r="L37" s="83">
        <v>90.05</v>
      </c>
      <c r="M37" s="83">
        <v>88.46</v>
      </c>
      <c r="N37" s="83">
        <v>89.26</v>
      </c>
      <c r="O37" s="83">
        <v>89.28</v>
      </c>
      <c r="P37" s="83">
        <v>93.52</v>
      </c>
      <c r="Q37" s="84">
        <v>0.1082</v>
      </c>
      <c r="R37" s="84">
        <v>0.0242</v>
      </c>
      <c r="S37" s="84">
        <v>0.8675</v>
      </c>
      <c r="T37" s="84">
        <v>0.0</v>
      </c>
      <c r="U37" s="84">
        <v>0.063</v>
      </c>
      <c r="V37" s="84">
        <v>0.0129</v>
      </c>
      <c r="W37" s="84">
        <v>0.0388</v>
      </c>
      <c r="X37" s="84">
        <v>0.7221</v>
      </c>
      <c r="Y37" s="84">
        <v>0.0468</v>
      </c>
      <c r="Z37" s="84">
        <v>0.0549</v>
      </c>
      <c r="AA37" s="84">
        <v>0.0081</v>
      </c>
      <c r="AB37" s="84">
        <v>0.0129</v>
      </c>
      <c r="AC37" s="84">
        <v>0.0242</v>
      </c>
      <c r="AD37" s="84">
        <v>0.0048</v>
      </c>
      <c r="AE37" s="65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65"/>
      <c r="BA37" s="65"/>
      <c r="BB37" s="65"/>
      <c r="BC37" s="65"/>
    </row>
    <row r="38">
      <c r="A38" s="77" t="s">
        <v>727</v>
      </c>
      <c r="B38" s="78" t="s">
        <v>728</v>
      </c>
      <c r="C38" s="79" t="s">
        <v>734</v>
      </c>
      <c r="D38" s="78" t="s">
        <v>646</v>
      </c>
      <c r="E38" s="79">
        <v>22.0</v>
      </c>
      <c r="F38" s="79">
        <v>4071.0</v>
      </c>
      <c r="G38" s="79">
        <v>3068.0</v>
      </c>
      <c r="H38" s="80">
        <v>0.18224537037037036</v>
      </c>
      <c r="I38" s="79">
        <v>49.0</v>
      </c>
      <c r="J38" s="81">
        <v>2.227272727272727</v>
      </c>
      <c r="K38" s="87">
        <v>83.83</v>
      </c>
      <c r="L38" s="83">
        <v>84.41</v>
      </c>
      <c r="M38" s="83">
        <v>82.41</v>
      </c>
      <c r="N38" s="83">
        <v>84.43</v>
      </c>
      <c r="O38" s="83">
        <v>80.28</v>
      </c>
      <c r="P38" s="83">
        <v>87.23</v>
      </c>
      <c r="Q38" s="84">
        <v>0.1406</v>
      </c>
      <c r="R38" s="84">
        <v>0.0106</v>
      </c>
      <c r="S38" s="84">
        <v>0.8488</v>
      </c>
      <c r="T38" s="84">
        <v>0.0</v>
      </c>
      <c r="U38" s="84">
        <v>0.0597</v>
      </c>
      <c r="V38" s="84">
        <v>0.0106</v>
      </c>
      <c r="W38" s="84">
        <v>0.061</v>
      </c>
      <c r="X38" s="84">
        <v>0.6525</v>
      </c>
      <c r="Y38" s="84">
        <v>0.0597</v>
      </c>
      <c r="Z38" s="84">
        <v>0.0676</v>
      </c>
      <c r="AA38" s="84">
        <v>0.0225</v>
      </c>
      <c r="AB38" s="84">
        <v>0.0066</v>
      </c>
      <c r="AC38" s="84">
        <v>0.0438</v>
      </c>
      <c r="AD38" s="84">
        <v>0.0</v>
      </c>
      <c r="AE38" s="65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65"/>
      <c r="BA38" s="65"/>
      <c r="BB38" s="65"/>
      <c r="BC38" s="65"/>
    </row>
    <row r="39">
      <c r="A39" s="77" t="s">
        <v>727</v>
      </c>
      <c r="B39" s="78" t="s">
        <v>732</v>
      </c>
      <c r="C39" s="79" t="s">
        <v>735</v>
      </c>
      <c r="D39" s="78" t="s">
        <v>641</v>
      </c>
      <c r="E39" s="79">
        <v>23.0</v>
      </c>
      <c r="F39" s="79">
        <v>2454.0</v>
      </c>
      <c r="G39" s="79">
        <v>2015.0</v>
      </c>
      <c r="H39" s="80">
        <v>0.12908564814814816</v>
      </c>
      <c r="I39" s="79">
        <v>31.0</v>
      </c>
      <c r="J39" s="81">
        <v>1.3478260869565217</v>
      </c>
      <c r="K39" s="87">
        <v>89.4</v>
      </c>
      <c r="L39" s="83">
        <v>88.8</v>
      </c>
      <c r="M39" s="83">
        <v>87.72</v>
      </c>
      <c r="N39" s="83">
        <v>88.4</v>
      </c>
      <c r="O39" s="83">
        <v>88.95</v>
      </c>
      <c r="P39" s="83">
        <v>93.47</v>
      </c>
      <c r="Q39" s="84">
        <v>0.1172</v>
      </c>
      <c r="R39" s="84">
        <v>0.0137</v>
      </c>
      <c r="S39" s="84">
        <v>0.8691</v>
      </c>
      <c r="T39" s="84">
        <v>0.0</v>
      </c>
      <c r="U39" s="84">
        <v>0.1191</v>
      </c>
      <c r="V39" s="84">
        <v>0.0176</v>
      </c>
      <c r="W39" s="84">
        <v>0.0293</v>
      </c>
      <c r="X39" s="84">
        <v>0.6406</v>
      </c>
      <c r="Y39" s="84">
        <v>0.0527</v>
      </c>
      <c r="Z39" s="84">
        <v>0.0664</v>
      </c>
      <c r="AA39" s="84">
        <v>0.0195</v>
      </c>
      <c r="AB39" s="84">
        <v>0.002</v>
      </c>
      <c r="AC39" s="84">
        <v>0.0234</v>
      </c>
      <c r="AD39" s="84">
        <v>0.0</v>
      </c>
      <c r="AE39" s="65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65"/>
      <c r="BA39" s="65"/>
      <c r="BB39" s="65"/>
      <c r="BC39" s="65"/>
    </row>
    <row r="40">
      <c r="A40" s="77" t="s">
        <v>727</v>
      </c>
      <c r="B40" s="78" t="s">
        <v>728</v>
      </c>
      <c r="C40" s="79" t="s">
        <v>736</v>
      </c>
      <c r="D40" s="78" t="s">
        <v>625</v>
      </c>
      <c r="E40" s="79">
        <v>27.0</v>
      </c>
      <c r="F40" s="79">
        <v>5099.0</v>
      </c>
      <c r="G40" s="79">
        <v>3719.0</v>
      </c>
      <c r="H40" s="80">
        <v>0.20372685185185185</v>
      </c>
      <c r="I40" s="79">
        <v>45.0</v>
      </c>
      <c r="J40" s="81">
        <v>1.6666666666666667</v>
      </c>
      <c r="K40" s="87">
        <v>87.55</v>
      </c>
      <c r="L40" s="83">
        <v>87.62</v>
      </c>
      <c r="M40" s="83">
        <v>84.15</v>
      </c>
      <c r="N40" s="83">
        <v>86.91</v>
      </c>
      <c r="O40" s="83">
        <v>88.6</v>
      </c>
      <c r="P40" s="83">
        <v>91.39</v>
      </c>
      <c r="Q40" s="84">
        <v>0.0913</v>
      </c>
      <c r="R40" s="84">
        <v>0.0181</v>
      </c>
      <c r="S40" s="84">
        <v>0.8907</v>
      </c>
      <c r="T40" s="84">
        <v>0.002</v>
      </c>
      <c r="U40" s="84">
        <v>0.0802</v>
      </c>
      <c r="V40" s="84">
        <v>0.0281</v>
      </c>
      <c r="W40" s="84">
        <v>0.0331</v>
      </c>
      <c r="X40" s="84">
        <v>0.7292</v>
      </c>
      <c r="Y40" s="84">
        <v>0.0381</v>
      </c>
      <c r="Z40" s="84">
        <v>0.0502</v>
      </c>
      <c r="AA40" s="84">
        <v>0.006</v>
      </c>
      <c r="AB40" s="84">
        <v>0.003</v>
      </c>
      <c r="AC40" s="84">
        <v>0.0191</v>
      </c>
      <c r="AD40" s="84">
        <v>0.001</v>
      </c>
      <c r="AE40" s="65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65"/>
      <c r="BA40" s="65"/>
      <c r="BB40" s="65"/>
      <c r="BC40" s="65"/>
    </row>
    <row r="41">
      <c r="A41" s="77" t="s">
        <v>727</v>
      </c>
      <c r="B41" s="78" t="s">
        <v>732</v>
      </c>
      <c r="C41" s="79" t="s">
        <v>737</v>
      </c>
      <c r="D41" s="78" t="s">
        <v>627</v>
      </c>
      <c r="E41" s="79">
        <v>24.0</v>
      </c>
      <c r="F41" s="79">
        <v>3621.0</v>
      </c>
      <c r="G41" s="79">
        <v>3049.0</v>
      </c>
      <c r="H41" s="80">
        <v>0.18163194444444444</v>
      </c>
      <c r="I41" s="79">
        <v>43.0</v>
      </c>
      <c r="J41" s="81">
        <v>1.7916666666666667</v>
      </c>
      <c r="K41" s="87">
        <v>87.07</v>
      </c>
      <c r="L41" s="83">
        <v>86.86</v>
      </c>
      <c r="M41" s="83">
        <v>84.77</v>
      </c>
      <c r="N41" s="83">
        <v>85.6</v>
      </c>
      <c r="O41" s="83">
        <v>86.88</v>
      </c>
      <c r="P41" s="83">
        <v>91.83</v>
      </c>
      <c r="Q41" s="84">
        <v>0.0858</v>
      </c>
      <c r="R41" s="84">
        <v>0.0275</v>
      </c>
      <c r="S41" s="84">
        <v>0.8867</v>
      </c>
      <c r="T41" s="84">
        <v>0.0023</v>
      </c>
      <c r="U41" s="84">
        <v>0.1865</v>
      </c>
      <c r="V41" s="84">
        <v>0.0206</v>
      </c>
      <c r="W41" s="84">
        <v>0.0549</v>
      </c>
      <c r="X41" s="84">
        <v>0.587</v>
      </c>
      <c r="Y41" s="84">
        <v>0.0732</v>
      </c>
      <c r="Z41" s="84">
        <v>0.0275</v>
      </c>
      <c r="AA41" s="84">
        <v>0.0137</v>
      </c>
      <c r="AB41" s="84">
        <v>0.0011</v>
      </c>
      <c r="AC41" s="84">
        <v>0.0229</v>
      </c>
      <c r="AD41" s="84">
        <v>0.0011</v>
      </c>
      <c r="AE41" s="65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65"/>
      <c r="BA41" s="65"/>
      <c r="BB41" s="65"/>
      <c r="BC41" s="65"/>
    </row>
    <row r="42">
      <c r="A42" s="77" t="s">
        <v>727</v>
      </c>
      <c r="B42" s="78" t="s">
        <v>732</v>
      </c>
      <c r="C42" s="79" t="s">
        <v>738</v>
      </c>
      <c r="D42" s="78" t="s">
        <v>610</v>
      </c>
      <c r="E42" s="79">
        <v>25.0</v>
      </c>
      <c r="F42" s="79">
        <v>4377.0</v>
      </c>
      <c r="G42" s="79">
        <v>3036.0</v>
      </c>
      <c r="H42" s="80">
        <v>0.18703703703703703</v>
      </c>
      <c r="I42" s="79">
        <v>35.0</v>
      </c>
      <c r="J42" s="81">
        <v>1.4</v>
      </c>
      <c r="K42" s="87">
        <v>88.2</v>
      </c>
      <c r="L42" s="83">
        <v>88.89</v>
      </c>
      <c r="M42" s="83">
        <v>86.41</v>
      </c>
      <c r="N42" s="83">
        <v>87.04</v>
      </c>
      <c r="O42" s="83">
        <v>85.56</v>
      </c>
      <c r="P42" s="83">
        <v>92.89</v>
      </c>
      <c r="Q42" s="84">
        <v>0.1123</v>
      </c>
      <c r="R42" s="84">
        <v>0.0205</v>
      </c>
      <c r="S42" s="84">
        <v>0.8671</v>
      </c>
      <c r="T42" s="84">
        <v>0.0041</v>
      </c>
      <c r="U42" s="84">
        <v>0.1123</v>
      </c>
      <c r="V42" s="84">
        <v>0.0041</v>
      </c>
      <c r="W42" s="84">
        <v>0.0808</v>
      </c>
      <c r="X42" s="84">
        <v>0.6616</v>
      </c>
      <c r="Y42" s="84">
        <v>0.0507</v>
      </c>
      <c r="Z42" s="84">
        <v>0.0356</v>
      </c>
      <c r="AA42" s="84">
        <v>0.0055</v>
      </c>
      <c r="AB42" s="84">
        <v>0.0068</v>
      </c>
      <c r="AC42" s="84">
        <v>0.0219</v>
      </c>
      <c r="AD42" s="84">
        <v>0.0014</v>
      </c>
      <c r="AE42" s="65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65"/>
      <c r="BA42" s="65"/>
      <c r="BB42" s="65"/>
      <c r="BC42" s="65"/>
    </row>
    <row r="43">
      <c r="A43" s="77" t="s">
        <v>727</v>
      </c>
      <c r="B43" s="78" t="s">
        <v>728</v>
      </c>
      <c r="C43" s="79" t="s">
        <v>739</v>
      </c>
      <c r="D43" s="78" t="s">
        <v>613</v>
      </c>
      <c r="E43" s="79">
        <v>24.0</v>
      </c>
      <c r="F43" s="79">
        <v>3746.0</v>
      </c>
      <c r="G43" s="79">
        <v>2887.0</v>
      </c>
      <c r="H43" s="80">
        <v>0.13092592592592592</v>
      </c>
      <c r="I43" s="79">
        <v>40.0</v>
      </c>
      <c r="J43" s="81">
        <v>1.6666666666666667</v>
      </c>
      <c r="K43" s="87">
        <v>88.05</v>
      </c>
      <c r="L43" s="83">
        <v>87.68</v>
      </c>
      <c r="M43" s="83">
        <v>84.58</v>
      </c>
      <c r="N43" s="83">
        <v>87.18</v>
      </c>
      <c r="O43" s="83">
        <v>88.29</v>
      </c>
      <c r="P43" s="83">
        <v>93.37</v>
      </c>
      <c r="Q43" s="84">
        <v>0.1227</v>
      </c>
      <c r="R43" s="84">
        <v>0.0282</v>
      </c>
      <c r="S43" s="84">
        <v>0.8491</v>
      </c>
      <c r="T43" s="84">
        <v>0.0014</v>
      </c>
      <c r="U43" s="84">
        <v>0.134</v>
      </c>
      <c r="V43" s="84">
        <v>0.0339</v>
      </c>
      <c r="W43" s="84">
        <v>0.0564</v>
      </c>
      <c r="X43" s="84">
        <v>0.6375</v>
      </c>
      <c r="Y43" s="84">
        <v>0.0409</v>
      </c>
      <c r="Z43" s="84">
        <v>0.0423</v>
      </c>
      <c r="AA43" s="84">
        <v>0.0254</v>
      </c>
      <c r="AB43" s="84">
        <v>0.0028</v>
      </c>
      <c r="AC43" s="84">
        <v>0.0141</v>
      </c>
      <c r="AD43" s="84">
        <v>0.0</v>
      </c>
      <c r="AE43" s="65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65"/>
      <c r="BA43" s="65"/>
      <c r="BB43" s="65"/>
      <c r="BC43" s="65"/>
    </row>
    <row r="44">
      <c r="A44" s="77" t="s">
        <v>727</v>
      </c>
      <c r="B44" s="78" t="s">
        <v>732</v>
      </c>
      <c r="C44" s="79" t="s">
        <v>740</v>
      </c>
      <c r="D44" s="78" t="s">
        <v>639</v>
      </c>
      <c r="E44" s="79">
        <v>22.0</v>
      </c>
      <c r="F44" s="79">
        <v>2478.0</v>
      </c>
      <c r="G44" s="79">
        <v>2207.0</v>
      </c>
      <c r="H44" s="80">
        <v>0.13233796296296296</v>
      </c>
      <c r="I44" s="79">
        <v>28.0</v>
      </c>
      <c r="J44" s="81">
        <v>1.2727272727272727</v>
      </c>
      <c r="K44" s="87">
        <v>89.69</v>
      </c>
      <c r="L44" s="83">
        <v>89.25</v>
      </c>
      <c r="M44" s="83">
        <v>87.61</v>
      </c>
      <c r="N44" s="83">
        <v>89.1</v>
      </c>
      <c r="O44" s="83">
        <v>88.17</v>
      </c>
      <c r="P44" s="83">
        <v>94.41</v>
      </c>
      <c r="Q44" s="84">
        <v>0.1563</v>
      </c>
      <c r="R44" s="84">
        <v>0.023</v>
      </c>
      <c r="S44" s="84">
        <v>0.8207</v>
      </c>
      <c r="T44" s="84">
        <v>0.0</v>
      </c>
      <c r="U44" s="84">
        <v>0.108</v>
      </c>
      <c r="V44" s="84">
        <v>0.0207</v>
      </c>
      <c r="W44" s="84">
        <v>0.046</v>
      </c>
      <c r="X44" s="84">
        <v>0.6575</v>
      </c>
      <c r="Y44" s="84">
        <v>0.0414</v>
      </c>
      <c r="Z44" s="84">
        <v>0.0575</v>
      </c>
      <c r="AA44" s="84">
        <v>0.0184</v>
      </c>
      <c r="AB44" s="84">
        <v>0.0</v>
      </c>
      <c r="AC44" s="84">
        <v>0.0276</v>
      </c>
      <c r="AD44" s="84">
        <v>0.0023</v>
      </c>
      <c r="AE44" s="65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65"/>
      <c r="BA44" s="65"/>
      <c r="BB44" s="65"/>
      <c r="BC44" s="65"/>
    </row>
    <row r="45">
      <c r="A45" s="77" t="s">
        <v>727</v>
      </c>
      <c r="B45" s="78" t="s">
        <v>728</v>
      </c>
      <c r="C45" s="79" t="s">
        <v>741</v>
      </c>
      <c r="D45" s="78" t="s">
        <v>629</v>
      </c>
      <c r="E45" s="79">
        <v>26.0</v>
      </c>
      <c r="F45" s="79">
        <v>5817.0</v>
      </c>
      <c r="G45" s="79">
        <v>3690.0</v>
      </c>
      <c r="H45" s="80">
        <v>0.1855439814814815</v>
      </c>
      <c r="I45" s="79">
        <v>32.0</v>
      </c>
      <c r="J45" s="81">
        <v>1.2307692307692308</v>
      </c>
      <c r="K45" s="87">
        <v>87.37</v>
      </c>
      <c r="L45" s="83">
        <v>87.33</v>
      </c>
      <c r="M45" s="83">
        <v>83.98</v>
      </c>
      <c r="N45" s="83">
        <v>86.06</v>
      </c>
      <c r="O45" s="83">
        <v>88.28</v>
      </c>
      <c r="P45" s="83">
        <v>92.01</v>
      </c>
      <c r="Q45" s="84">
        <v>0.0724</v>
      </c>
      <c r="R45" s="84">
        <v>0.0127</v>
      </c>
      <c r="S45" s="84">
        <v>0.9149</v>
      </c>
      <c r="T45" s="84">
        <v>0.0013</v>
      </c>
      <c r="U45" s="84">
        <v>0.1194</v>
      </c>
      <c r="V45" s="84">
        <v>0.0076</v>
      </c>
      <c r="W45" s="84">
        <v>0.0635</v>
      </c>
      <c r="X45" s="84">
        <v>0.6595</v>
      </c>
      <c r="Y45" s="84">
        <v>0.0432</v>
      </c>
      <c r="Z45" s="84">
        <v>0.0559</v>
      </c>
      <c r="AA45" s="84">
        <v>0.0127</v>
      </c>
      <c r="AB45" s="84">
        <v>0.0038</v>
      </c>
      <c r="AC45" s="84">
        <v>0.0267</v>
      </c>
      <c r="AD45" s="84">
        <v>0.0013</v>
      </c>
      <c r="AE45" s="65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65"/>
      <c r="BA45" s="65"/>
      <c r="BB45" s="65"/>
      <c r="BC45" s="65"/>
    </row>
    <row r="46">
      <c r="A46" s="77" t="s">
        <v>727</v>
      </c>
      <c r="B46" s="78" t="s">
        <v>732</v>
      </c>
      <c r="C46" s="79" t="s">
        <v>742</v>
      </c>
      <c r="D46" s="78" t="s">
        <v>635</v>
      </c>
      <c r="E46" s="79">
        <v>7.0</v>
      </c>
      <c r="F46" s="79">
        <v>1397.0</v>
      </c>
      <c r="G46" s="79">
        <v>1091.0</v>
      </c>
      <c r="H46" s="80">
        <v>0.20466435185185186</v>
      </c>
      <c r="I46" s="79">
        <v>13.0</v>
      </c>
      <c r="J46" s="81">
        <v>1.8571428571428572</v>
      </c>
      <c r="K46" s="87">
        <v>86.13</v>
      </c>
      <c r="L46" s="83">
        <v>87.55</v>
      </c>
      <c r="M46" s="83">
        <v>83.38</v>
      </c>
      <c r="N46" s="83">
        <v>81.69</v>
      </c>
      <c r="O46" s="83">
        <v>86.1</v>
      </c>
      <c r="P46" s="83">
        <v>91.93</v>
      </c>
      <c r="Q46" s="84">
        <v>0.0623</v>
      </c>
      <c r="R46" s="84">
        <v>0.0233</v>
      </c>
      <c r="S46" s="84">
        <v>0.9144</v>
      </c>
      <c r="T46" s="84">
        <v>0.0</v>
      </c>
      <c r="U46" s="84">
        <v>0.0856</v>
      </c>
      <c r="V46" s="84">
        <v>0.0039</v>
      </c>
      <c r="W46" s="84">
        <v>0.1284</v>
      </c>
      <c r="X46" s="84">
        <v>0.5409</v>
      </c>
      <c r="Y46" s="84">
        <v>0.0</v>
      </c>
      <c r="Z46" s="84">
        <v>0.0817</v>
      </c>
      <c r="AA46" s="84">
        <v>0.0428</v>
      </c>
      <c r="AB46" s="84">
        <v>0.0117</v>
      </c>
      <c r="AC46" s="84">
        <v>0.0389</v>
      </c>
      <c r="AD46" s="84">
        <v>0.0</v>
      </c>
      <c r="AE46" s="65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65"/>
      <c r="BA46" s="65"/>
      <c r="BB46" s="65"/>
      <c r="BC46" s="65"/>
    </row>
    <row r="47">
      <c r="A47" s="77" t="s">
        <v>727</v>
      </c>
      <c r="B47" s="78" t="s">
        <v>728</v>
      </c>
      <c r="C47" s="79" t="s">
        <v>743</v>
      </c>
      <c r="D47" s="78" t="s">
        <v>643</v>
      </c>
      <c r="E47" s="79">
        <v>22.0</v>
      </c>
      <c r="F47" s="79">
        <v>4268.0</v>
      </c>
      <c r="G47" s="79">
        <v>2945.0</v>
      </c>
      <c r="H47" s="80">
        <v>0.16324074074074074</v>
      </c>
      <c r="I47" s="79">
        <v>26.0</v>
      </c>
      <c r="J47" s="81">
        <v>1.1818181818181819</v>
      </c>
      <c r="K47" s="87">
        <v>87.7</v>
      </c>
      <c r="L47" s="83">
        <v>87.85</v>
      </c>
      <c r="M47" s="83">
        <v>83.04</v>
      </c>
      <c r="N47" s="83">
        <v>87.09</v>
      </c>
      <c r="O47" s="83">
        <v>88.55</v>
      </c>
      <c r="P47" s="83">
        <v>93.31</v>
      </c>
      <c r="Q47" s="84">
        <v>0.0901</v>
      </c>
      <c r="R47" s="84">
        <v>0.0245</v>
      </c>
      <c r="S47" s="84">
        <v>0.8855</v>
      </c>
      <c r="T47" s="84">
        <v>0.0039</v>
      </c>
      <c r="U47" s="84">
        <v>0.1493</v>
      </c>
      <c r="V47" s="84">
        <v>0.0142</v>
      </c>
      <c r="W47" s="84">
        <v>0.0347</v>
      </c>
      <c r="X47" s="84">
        <v>0.722</v>
      </c>
      <c r="Y47" s="84">
        <v>0.0553</v>
      </c>
      <c r="Z47" s="84">
        <v>0.0</v>
      </c>
      <c r="AA47" s="84">
        <v>0.0</v>
      </c>
      <c r="AB47" s="84">
        <v>0.0</v>
      </c>
      <c r="AC47" s="84">
        <v>0.0077</v>
      </c>
      <c r="AD47" s="84">
        <v>0.0026</v>
      </c>
      <c r="AE47" s="65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65"/>
      <c r="BA47" s="65"/>
      <c r="BB47" s="65"/>
      <c r="BC47" s="65"/>
    </row>
    <row r="48">
      <c r="A48" s="77" t="s">
        <v>727</v>
      </c>
      <c r="B48" s="78" t="s">
        <v>728</v>
      </c>
      <c r="C48" s="79" t="s">
        <v>744</v>
      </c>
      <c r="D48" s="78" t="s">
        <v>619</v>
      </c>
      <c r="E48" s="79">
        <v>26.0</v>
      </c>
      <c r="F48" s="79">
        <v>4048.0</v>
      </c>
      <c r="G48" s="79">
        <v>3421.0</v>
      </c>
      <c r="H48" s="80">
        <v>0.17315972222222223</v>
      </c>
      <c r="I48" s="79">
        <v>29.0</v>
      </c>
      <c r="J48" s="81">
        <v>1.1153846153846154</v>
      </c>
      <c r="K48" s="87">
        <v>85.3</v>
      </c>
      <c r="L48" s="83">
        <v>85.5</v>
      </c>
      <c r="M48" s="83">
        <v>82.14</v>
      </c>
      <c r="N48" s="83">
        <v>84.62</v>
      </c>
      <c r="O48" s="83">
        <v>83.05</v>
      </c>
      <c r="P48" s="83">
        <v>91.23</v>
      </c>
      <c r="Q48" s="84">
        <v>0.0733</v>
      </c>
      <c r="R48" s="84">
        <v>0.0372</v>
      </c>
      <c r="S48" s="84">
        <v>0.8895</v>
      </c>
      <c r="T48" s="84">
        <v>0.0066</v>
      </c>
      <c r="U48" s="84">
        <v>0.1269</v>
      </c>
      <c r="V48" s="84">
        <v>0.0066</v>
      </c>
      <c r="W48" s="84">
        <v>0.0383</v>
      </c>
      <c r="X48" s="84">
        <v>0.5864</v>
      </c>
      <c r="Y48" s="84">
        <v>0.0733</v>
      </c>
      <c r="Z48" s="84">
        <v>0.0503</v>
      </c>
      <c r="AA48" s="84">
        <v>0.0361</v>
      </c>
      <c r="AB48" s="84">
        <v>0.0022</v>
      </c>
      <c r="AC48" s="84">
        <v>0.0284</v>
      </c>
      <c r="AD48" s="84">
        <v>0.0033</v>
      </c>
      <c r="AE48" s="65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65"/>
      <c r="BA48" s="65"/>
      <c r="BB48" s="65"/>
      <c r="BC48" s="65"/>
    </row>
    <row r="49">
      <c r="A49" s="77" t="s">
        <v>727</v>
      </c>
      <c r="B49" s="78" t="s">
        <v>732</v>
      </c>
      <c r="C49" s="79" t="s">
        <v>745</v>
      </c>
      <c r="D49" s="78" t="s">
        <v>655</v>
      </c>
      <c r="E49" s="79">
        <v>22.0</v>
      </c>
      <c r="F49" s="79">
        <v>4121.0</v>
      </c>
      <c r="G49" s="79">
        <v>4038.0</v>
      </c>
      <c r="H49" s="80">
        <v>0.11842592592592592</v>
      </c>
      <c r="I49" s="79">
        <v>28.0</v>
      </c>
      <c r="J49" s="81">
        <v>1.2727272727272727</v>
      </c>
      <c r="K49" s="87">
        <v>77.35</v>
      </c>
      <c r="L49" s="83">
        <v>75.97</v>
      </c>
      <c r="M49" s="83">
        <v>73.22</v>
      </c>
      <c r="N49" s="83">
        <v>76.56</v>
      </c>
      <c r="O49" s="83">
        <v>77.48</v>
      </c>
      <c r="P49" s="83">
        <v>84.58</v>
      </c>
      <c r="Q49" s="84">
        <v>0.0858</v>
      </c>
      <c r="R49" s="84">
        <v>0.0292</v>
      </c>
      <c r="S49" s="84">
        <v>0.885</v>
      </c>
      <c r="T49" s="84">
        <v>0.0019</v>
      </c>
      <c r="U49" s="84">
        <v>0.0897</v>
      </c>
      <c r="V49" s="84">
        <v>0.0156</v>
      </c>
      <c r="W49" s="84">
        <v>0.0292</v>
      </c>
      <c r="X49" s="84">
        <v>0.6647</v>
      </c>
      <c r="Y49" s="84">
        <v>0.0721</v>
      </c>
      <c r="Z49" s="84">
        <v>0.0507</v>
      </c>
      <c r="AA49" s="84">
        <v>0.0234</v>
      </c>
      <c r="AB49" s="84">
        <v>0.0039</v>
      </c>
      <c r="AC49" s="84">
        <v>0.0195</v>
      </c>
      <c r="AD49" s="84">
        <v>0.0039</v>
      </c>
      <c r="AE49" s="65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65"/>
      <c r="BA49" s="65"/>
      <c r="BB49" s="65"/>
      <c r="BC49" s="65"/>
    </row>
    <row r="50">
      <c r="A50" s="77" t="s">
        <v>727</v>
      </c>
      <c r="B50" s="78" t="s">
        <v>732</v>
      </c>
      <c r="C50" s="79" t="s">
        <v>746</v>
      </c>
      <c r="D50" s="78" t="s">
        <v>637</v>
      </c>
      <c r="E50" s="79">
        <v>25.0</v>
      </c>
      <c r="F50" s="79">
        <v>4024.0</v>
      </c>
      <c r="G50" s="79">
        <v>3501.0</v>
      </c>
      <c r="H50" s="80">
        <v>0.14930555555555555</v>
      </c>
      <c r="I50" s="79">
        <v>20.0</v>
      </c>
      <c r="J50" s="81">
        <v>0.8</v>
      </c>
      <c r="K50" s="87">
        <v>86.4</v>
      </c>
      <c r="L50" s="83">
        <v>86.91</v>
      </c>
      <c r="M50" s="83">
        <v>83.09</v>
      </c>
      <c r="N50" s="83">
        <v>85.28</v>
      </c>
      <c r="O50" s="83">
        <v>86.39</v>
      </c>
      <c r="P50" s="83">
        <v>90.99</v>
      </c>
      <c r="Q50" s="84">
        <v>0.09</v>
      </c>
      <c r="R50" s="84">
        <v>0.0371</v>
      </c>
      <c r="S50" s="84">
        <v>0.8729</v>
      </c>
      <c r="T50" s="84">
        <v>0.0029</v>
      </c>
      <c r="U50" s="84">
        <v>0.1043</v>
      </c>
      <c r="V50" s="84">
        <v>0.0086</v>
      </c>
      <c r="W50" s="84">
        <v>0.0314</v>
      </c>
      <c r="X50" s="84">
        <v>0.66</v>
      </c>
      <c r="Y50" s="84">
        <v>0.0686</v>
      </c>
      <c r="Z50" s="84">
        <v>0.0543</v>
      </c>
      <c r="AA50" s="84">
        <v>0.0171</v>
      </c>
      <c r="AB50" s="84">
        <v>0.0057</v>
      </c>
      <c r="AC50" s="84">
        <v>0.0243</v>
      </c>
      <c r="AD50" s="84">
        <v>0.0014</v>
      </c>
      <c r="AE50" s="65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65"/>
      <c r="BA50" s="65"/>
      <c r="BB50" s="65"/>
      <c r="BC50" s="65"/>
    </row>
    <row r="51">
      <c r="A51" s="77" t="s">
        <v>727</v>
      </c>
      <c r="B51" s="78" t="s">
        <v>728</v>
      </c>
      <c r="C51" s="79" t="s">
        <v>747</v>
      </c>
      <c r="D51" s="78" t="s">
        <v>633</v>
      </c>
      <c r="E51" s="79">
        <v>26.0</v>
      </c>
      <c r="F51" s="79">
        <v>5116.0</v>
      </c>
      <c r="G51" s="79">
        <v>3771.0</v>
      </c>
      <c r="H51" s="80">
        <v>0.19072916666666667</v>
      </c>
      <c r="I51" s="79">
        <v>62.0</v>
      </c>
      <c r="J51" s="81">
        <v>2.3846153846153846</v>
      </c>
      <c r="K51" s="87">
        <v>85.98</v>
      </c>
      <c r="L51" s="83">
        <v>87.11</v>
      </c>
      <c r="M51" s="83">
        <v>83.4</v>
      </c>
      <c r="N51" s="83">
        <v>86.32</v>
      </c>
      <c r="O51" s="83">
        <v>82.66</v>
      </c>
      <c r="P51" s="83">
        <v>90.12</v>
      </c>
      <c r="Q51" s="84">
        <v>0.1553</v>
      </c>
      <c r="R51" s="84">
        <v>0.0181</v>
      </c>
      <c r="S51" s="84">
        <v>0.8265</v>
      </c>
      <c r="T51" s="84">
        <v>0.0023</v>
      </c>
      <c r="U51" s="84">
        <v>0.0771</v>
      </c>
      <c r="V51" s="84">
        <v>0.0249</v>
      </c>
      <c r="W51" s="84">
        <v>0.0544</v>
      </c>
      <c r="X51" s="84">
        <v>0.7075</v>
      </c>
      <c r="Y51" s="84">
        <v>0.0476</v>
      </c>
      <c r="Z51" s="84">
        <v>0.0408</v>
      </c>
      <c r="AA51" s="84">
        <v>0.0057</v>
      </c>
      <c r="AB51" s="84">
        <v>0.0023</v>
      </c>
      <c r="AC51" s="84">
        <v>0.0261</v>
      </c>
      <c r="AD51" s="84">
        <v>0.0023</v>
      </c>
      <c r="AE51" s="65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65"/>
      <c r="BA51" s="65"/>
      <c r="BB51" s="65"/>
      <c r="BC51" s="65"/>
    </row>
    <row r="52">
      <c r="A52" s="77" t="s">
        <v>727</v>
      </c>
      <c r="B52" s="78" t="s">
        <v>728</v>
      </c>
      <c r="C52" s="79" t="s">
        <v>748</v>
      </c>
      <c r="D52" s="78" t="s">
        <v>621</v>
      </c>
      <c r="E52" s="79">
        <v>25.0</v>
      </c>
      <c r="F52" s="79">
        <v>6663.0</v>
      </c>
      <c r="G52" s="79">
        <v>4852.0</v>
      </c>
      <c r="H52" s="80">
        <v>0.15875</v>
      </c>
      <c r="I52" s="79">
        <v>49.0</v>
      </c>
      <c r="J52" s="81">
        <v>1.96</v>
      </c>
      <c r="K52" s="87">
        <v>84.19</v>
      </c>
      <c r="L52" s="83">
        <v>84.96</v>
      </c>
      <c r="M52" s="83">
        <v>80.83</v>
      </c>
      <c r="N52" s="83">
        <v>83.05</v>
      </c>
      <c r="O52" s="83">
        <v>81.17</v>
      </c>
      <c r="P52" s="83">
        <v>90.96</v>
      </c>
      <c r="Q52" s="84">
        <v>0.0953</v>
      </c>
      <c r="R52" s="84">
        <v>0.0291</v>
      </c>
      <c r="S52" s="84">
        <v>0.8756</v>
      </c>
      <c r="T52" s="84">
        <v>0.0022</v>
      </c>
      <c r="U52" s="84">
        <v>0.1581</v>
      </c>
      <c r="V52" s="84">
        <v>0.0101</v>
      </c>
      <c r="W52" s="84">
        <v>0.0516</v>
      </c>
      <c r="X52" s="84">
        <v>0.6413</v>
      </c>
      <c r="Y52" s="84">
        <v>0.0504</v>
      </c>
      <c r="Z52" s="84">
        <v>0.037</v>
      </c>
      <c r="AA52" s="84">
        <v>0.009</v>
      </c>
      <c r="AB52" s="84">
        <v>0.0045</v>
      </c>
      <c r="AC52" s="84">
        <v>0.0179</v>
      </c>
      <c r="AD52" s="84">
        <v>0.0</v>
      </c>
      <c r="AE52" s="65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65"/>
      <c r="BA52" s="65"/>
      <c r="BB52" s="65"/>
      <c r="BC52" s="65"/>
    </row>
    <row r="53">
      <c r="A53" s="85"/>
      <c r="B53" s="85"/>
      <c r="C53" s="88"/>
      <c r="D53" s="85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65"/>
      <c r="AF53" s="56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</row>
    <row r="54">
      <c r="A54" s="54" t="s">
        <v>1</v>
      </c>
      <c r="B54" s="54" t="s">
        <v>700</v>
      </c>
      <c r="C54" s="54" t="s">
        <v>677</v>
      </c>
      <c r="D54" s="54" t="s">
        <v>36</v>
      </c>
      <c r="E54" s="54" t="s">
        <v>37</v>
      </c>
      <c r="F54" s="54" t="s">
        <v>38</v>
      </c>
      <c r="G54" s="54" t="s">
        <v>39</v>
      </c>
      <c r="H54" s="54" t="s">
        <v>678</v>
      </c>
      <c r="I54" s="54" t="s">
        <v>679</v>
      </c>
      <c r="J54" s="54" t="s">
        <v>42</v>
      </c>
      <c r="K54" s="76" t="s">
        <v>245</v>
      </c>
      <c r="L54" s="54" t="s">
        <v>26</v>
      </c>
      <c r="M54" s="54" t="s">
        <v>4</v>
      </c>
      <c r="N54" s="54" t="s">
        <v>6</v>
      </c>
      <c r="O54" s="54" t="s">
        <v>25</v>
      </c>
      <c r="P54" s="54" t="s">
        <v>7</v>
      </c>
      <c r="Q54" s="54" t="s">
        <v>680</v>
      </c>
      <c r="R54" s="54" t="s">
        <v>51</v>
      </c>
      <c r="S54" s="54" t="s">
        <v>681</v>
      </c>
      <c r="T54" s="54" t="s">
        <v>682</v>
      </c>
      <c r="U54" s="54" t="s">
        <v>683</v>
      </c>
      <c r="V54" s="54" t="s">
        <v>684</v>
      </c>
      <c r="W54" s="54" t="s">
        <v>685</v>
      </c>
      <c r="X54" s="54" t="s">
        <v>686</v>
      </c>
      <c r="Y54" s="54" t="s">
        <v>687</v>
      </c>
      <c r="Z54" s="54" t="s">
        <v>688</v>
      </c>
      <c r="AA54" s="54" t="s">
        <v>689</v>
      </c>
      <c r="AB54" s="54" t="s">
        <v>690</v>
      </c>
      <c r="AC54" s="54" t="s">
        <v>691</v>
      </c>
      <c r="AD54" s="54" t="s">
        <v>692</v>
      </c>
      <c r="AE54" s="65"/>
      <c r="AF54" s="57" t="s">
        <v>53</v>
      </c>
      <c r="AG54" s="57" t="s">
        <v>53</v>
      </c>
      <c r="AH54" s="57" t="s">
        <v>53</v>
      </c>
      <c r="AI54" s="57" t="s">
        <v>53</v>
      </c>
      <c r="AJ54" s="57" t="s">
        <v>53</v>
      </c>
      <c r="AK54" s="57" t="s">
        <v>53</v>
      </c>
      <c r="AL54" s="57" t="s">
        <v>53</v>
      </c>
      <c r="AM54" s="57" t="s">
        <v>53</v>
      </c>
      <c r="AN54" s="57" t="s">
        <v>53</v>
      </c>
      <c r="AO54" s="57" t="s">
        <v>53</v>
      </c>
      <c r="AP54" s="57" t="s">
        <v>53</v>
      </c>
      <c r="AQ54" s="57" t="s">
        <v>53</v>
      </c>
      <c r="AR54" s="57" t="s">
        <v>53</v>
      </c>
      <c r="AS54" s="57" t="s">
        <v>53</v>
      </c>
      <c r="AT54" s="57" t="s">
        <v>53</v>
      </c>
      <c r="AU54" s="57" t="s">
        <v>53</v>
      </c>
      <c r="AV54" s="57" t="s">
        <v>53</v>
      </c>
      <c r="AW54" s="57" t="s">
        <v>53</v>
      </c>
      <c r="AX54" s="57" t="s">
        <v>53</v>
      </c>
      <c r="AY54" s="57" t="s">
        <v>53</v>
      </c>
      <c r="AZ54" s="65"/>
      <c r="BA54" s="65"/>
      <c r="BB54" s="65"/>
      <c r="BC54" s="65"/>
    </row>
    <row r="55">
      <c r="A55" s="77" t="s">
        <v>649</v>
      </c>
      <c r="B55" s="78" t="s">
        <v>719</v>
      </c>
      <c r="C55" s="79" t="s">
        <v>749</v>
      </c>
      <c r="D55" s="78" t="s">
        <v>648</v>
      </c>
      <c r="E55" s="79">
        <v>27.0</v>
      </c>
      <c r="F55" s="79">
        <v>2915.0</v>
      </c>
      <c r="G55" s="79">
        <v>2943.0</v>
      </c>
      <c r="H55" s="80">
        <v>0.15127314814814816</v>
      </c>
      <c r="I55" s="79">
        <v>87.0</v>
      </c>
      <c r="J55" s="81">
        <v>3.2222222222222223</v>
      </c>
      <c r="K55" s="82">
        <v>87.04</v>
      </c>
      <c r="L55" s="83">
        <v>86.94</v>
      </c>
      <c r="M55" s="83">
        <v>85.22</v>
      </c>
      <c r="N55" s="83">
        <v>85.85</v>
      </c>
      <c r="O55" s="83">
        <v>86.78</v>
      </c>
      <c r="P55" s="83">
        <v>90.69</v>
      </c>
      <c r="Q55" s="84">
        <v>0.1832</v>
      </c>
      <c r="R55" s="84">
        <v>0.0429</v>
      </c>
      <c r="S55" s="84">
        <v>0.7739</v>
      </c>
      <c r="T55" s="84">
        <v>0.0033</v>
      </c>
      <c r="U55" s="84">
        <v>0.071</v>
      </c>
      <c r="V55" s="84">
        <v>0.0512</v>
      </c>
      <c r="W55" s="84">
        <v>0.0792</v>
      </c>
      <c r="X55" s="84">
        <v>0.6634</v>
      </c>
      <c r="Y55" s="84">
        <v>0.0314</v>
      </c>
      <c r="Z55" s="84">
        <v>0.0561</v>
      </c>
      <c r="AA55" s="84">
        <v>0.005</v>
      </c>
      <c r="AB55" s="84">
        <v>0.005</v>
      </c>
      <c r="AC55" s="84">
        <v>0.0297</v>
      </c>
      <c r="AD55" s="84">
        <v>0.005</v>
      </c>
      <c r="AE55" s="65"/>
      <c r="AF55" s="58">
        <f t="shared" ref="AF55:AY55" si="5">CORREL($J$55:$J$58,K55:K58)</f>
        <v>0.7526262389</v>
      </c>
      <c r="AG55" s="58">
        <f t="shared" si="5"/>
        <v>0.7019415251</v>
      </c>
      <c r="AH55" s="58">
        <f t="shared" si="5"/>
        <v>0.8055251158</v>
      </c>
      <c r="AI55" s="58">
        <f t="shared" si="5"/>
        <v>0.6782199689</v>
      </c>
      <c r="AJ55" s="58">
        <f t="shared" si="5"/>
        <v>0.9031217645</v>
      </c>
      <c r="AK55" s="58">
        <f t="shared" si="5"/>
        <v>0.7116729773</v>
      </c>
      <c r="AL55" s="58">
        <f t="shared" si="5"/>
        <v>0.8873363041</v>
      </c>
      <c r="AM55" s="58">
        <f t="shared" si="5"/>
        <v>-0.19112255</v>
      </c>
      <c r="AN55" s="58">
        <f t="shared" si="5"/>
        <v>-0.7842677164</v>
      </c>
      <c r="AO55" s="58">
        <f t="shared" si="5"/>
        <v>-0.2578330878</v>
      </c>
      <c r="AP55" s="58">
        <f t="shared" si="5"/>
        <v>-0.5018489451</v>
      </c>
      <c r="AQ55" s="58">
        <f t="shared" si="5"/>
        <v>0.6019277775</v>
      </c>
      <c r="AR55" s="58">
        <f t="shared" si="5"/>
        <v>0.9696138544</v>
      </c>
      <c r="AS55" s="58">
        <f t="shared" si="5"/>
        <v>-0.8611768294</v>
      </c>
      <c r="AT55" s="58">
        <f t="shared" si="5"/>
        <v>-0.4371121258</v>
      </c>
      <c r="AU55" s="58">
        <f t="shared" si="5"/>
        <v>0.4563531573</v>
      </c>
      <c r="AV55" s="58">
        <f t="shared" si="5"/>
        <v>-0.3526552227</v>
      </c>
      <c r="AW55" s="58">
        <f t="shared" si="5"/>
        <v>-0.06587092848</v>
      </c>
      <c r="AX55" s="58">
        <f t="shared" si="5"/>
        <v>0.9491162734</v>
      </c>
      <c r="AY55" s="58">
        <f t="shared" si="5"/>
        <v>-0.1448251783</v>
      </c>
      <c r="AZ55" s="65"/>
      <c r="BA55" s="65"/>
      <c r="BB55" s="65"/>
      <c r="BC55" s="65"/>
    </row>
    <row r="56">
      <c r="A56" s="77" t="s">
        <v>649</v>
      </c>
      <c r="B56" s="78" t="s">
        <v>732</v>
      </c>
      <c r="C56" s="79" t="s">
        <v>750</v>
      </c>
      <c r="D56" s="78" t="s">
        <v>653</v>
      </c>
      <c r="E56" s="79">
        <v>25.0</v>
      </c>
      <c r="F56" s="79">
        <v>2435.0</v>
      </c>
      <c r="G56" s="79">
        <v>1508.0</v>
      </c>
      <c r="H56" s="80">
        <v>0.1713425925925926</v>
      </c>
      <c r="I56" s="79">
        <v>40.0</v>
      </c>
      <c r="J56" s="81">
        <v>1.6</v>
      </c>
      <c r="K56" s="82">
        <v>85.63</v>
      </c>
      <c r="L56" s="83">
        <v>86.6</v>
      </c>
      <c r="M56" s="83">
        <v>83.52</v>
      </c>
      <c r="N56" s="83">
        <v>85.7</v>
      </c>
      <c r="O56" s="83">
        <v>82.06</v>
      </c>
      <c r="P56" s="83">
        <v>89.9</v>
      </c>
      <c r="Q56" s="84">
        <v>0.1421</v>
      </c>
      <c r="R56" s="84">
        <v>0.0342</v>
      </c>
      <c r="S56" s="84">
        <v>0.8237</v>
      </c>
      <c r="T56" s="84">
        <v>0.0036</v>
      </c>
      <c r="U56" s="84">
        <v>0.0737</v>
      </c>
      <c r="V56" s="84">
        <v>0.0144</v>
      </c>
      <c r="W56" s="84">
        <v>0.0234</v>
      </c>
      <c r="X56" s="84">
        <v>0.7572</v>
      </c>
      <c r="Y56" s="84">
        <v>0.0234</v>
      </c>
      <c r="Z56" s="84">
        <v>0.0594</v>
      </c>
      <c r="AA56" s="84">
        <v>0.0144</v>
      </c>
      <c r="AB56" s="84">
        <v>0.009</v>
      </c>
      <c r="AC56" s="84">
        <v>0.0126</v>
      </c>
      <c r="AD56" s="84">
        <v>0.0018</v>
      </c>
      <c r="AE56" s="65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65"/>
      <c r="BA56" s="65"/>
      <c r="BB56" s="65"/>
      <c r="BC56" s="65"/>
    </row>
    <row r="57">
      <c r="A57" s="77" t="s">
        <v>649</v>
      </c>
      <c r="B57" s="78" t="s">
        <v>732</v>
      </c>
      <c r="C57" s="79" t="s">
        <v>751</v>
      </c>
      <c r="D57" s="78" t="s">
        <v>651</v>
      </c>
      <c r="E57" s="79">
        <v>24.0</v>
      </c>
      <c r="F57" s="79">
        <v>2250.0</v>
      </c>
      <c r="G57" s="79">
        <v>2081.0</v>
      </c>
      <c r="H57" s="80">
        <v>0.15410879629629629</v>
      </c>
      <c r="I57" s="79">
        <v>58.0</v>
      </c>
      <c r="J57" s="81">
        <v>2.4166666666666665</v>
      </c>
      <c r="K57" s="82">
        <v>83.98</v>
      </c>
      <c r="L57" s="83">
        <v>86.85</v>
      </c>
      <c r="M57" s="83">
        <v>84.95</v>
      </c>
      <c r="N57" s="83">
        <v>86.91</v>
      </c>
      <c r="O57" s="83">
        <v>86.79</v>
      </c>
      <c r="P57" s="83">
        <v>92.31</v>
      </c>
      <c r="Q57" s="84">
        <v>0.1353</v>
      </c>
      <c r="R57" s="84">
        <v>0.0264</v>
      </c>
      <c r="S57" s="84">
        <v>0.8383</v>
      </c>
      <c r="T57" s="84">
        <v>0.0053</v>
      </c>
      <c r="U57" s="84">
        <v>0.1054</v>
      </c>
      <c r="V57" s="84">
        <v>0.0228</v>
      </c>
      <c r="W57" s="84">
        <v>0.065</v>
      </c>
      <c r="X57" s="84">
        <v>0.6907</v>
      </c>
      <c r="Y57" s="84">
        <v>0.0281</v>
      </c>
      <c r="Z57" s="84">
        <v>0.0299</v>
      </c>
      <c r="AA57" s="84">
        <v>0.0123</v>
      </c>
      <c r="AB57" s="84">
        <v>0.0018</v>
      </c>
      <c r="AC57" s="84">
        <v>0.0264</v>
      </c>
      <c r="AD57" s="84">
        <v>0.0018</v>
      </c>
      <c r="AE57" s="65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65"/>
      <c r="BA57" s="65"/>
      <c r="BB57" s="65"/>
      <c r="BC57" s="65"/>
    </row>
    <row r="58">
      <c r="A58" s="77" t="s">
        <v>649</v>
      </c>
      <c r="B58" s="78" t="s">
        <v>719</v>
      </c>
      <c r="C58" s="79" t="s">
        <v>752</v>
      </c>
      <c r="D58" s="78" t="s">
        <v>657</v>
      </c>
      <c r="E58" s="79">
        <v>24.0</v>
      </c>
      <c r="F58" s="79">
        <v>2217.0</v>
      </c>
      <c r="G58" s="79">
        <v>2523.0</v>
      </c>
      <c r="H58" s="80">
        <v>0.104375</v>
      </c>
      <c r="I58" s="79">
        <v>29.0</v>
      </c>
      <c r="J58" s="81">
        <v>1.2083333333333333</v>
      </c>
      <c r="K58" s="82">
        <v>80.2</v>
      </c>
      <c r="L58" s="83">
        <v>79.88</v>
      </c>
      <c r="M58" s="83">
        <v>77.8</v>
      </c>
      <c r="N58" s="83">
        <v>79.19</v>
      </c>
      <c r="O58" s="83">
        <v>77.47</v>
      </c>
      <c r="P58" s="83">
        <v>86.63</v>
      </c>
      <c r="Q58" s="84">
        <v>0.1134</v>
      </c>
      <c r="R58" s="84">
        <v>0.0476</v>
      </c>
      <c r="S58" s="84">
        <v>0.839</v>
      </c>
      <c r="T58" s="84">
        <v>0.0045</v>
      </c>
      <c r="U58" s="84">
        <v>0.1134</v>
      </c>
      <c r="V58" s="84">
        <v>0.034</v>
      </c>
      <c r="W58" s="84">
        <v>0.0227</v>
      </c>
      <c r="X58" s="84">
        <v>0.7234</v>
      </c>
      <c r="Y58" s="84">
        <v>0.0499</v>
      </c>
      <c r="Z58" s="84">
        <v>0.0181</v>
      </c>
      <c r="AA58" s="84">
        <v>0.0068</v>
      </c>
      <c r="AB58" s="84">
        <v>0.0023</v>
      </c>
      <c r="AC58" s="84">
        <v>0.0136</v>
      </c>
      <c r="AD58" s="84">
        <v>0.0068</v>
      </c>
      <c r="AE58" s="65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65"/>
      <c r="BA58" s="65"/>
      <c r="BB58" s="65"/>
      <c r="BC58" s="65"/>
    </row>
    <row r="59">
      <c r="A59" s="85"/>
      <c r="B59" s="85"/>
      <c r="C59" s="88"/>
      <c r="D59" s="85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65"/>
      <c r="AF59" s="56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</row>
    <row r="60">
      <c r="A60" s="54" t="s">
        <v>1</v>
      </c>
      <c r="B60" s="54" t="s">
        <v>700</v>
      </c>
      <c r="C60" s="54" t="s">
        <v>677</v>
      </c>
      <c r="D60" s="54" t="s">
        <v>36</v>
      </c>
      <c r="E60" s="54" t="s">
        <v>37</v>
      </c>
      <c r="F60" s="54" t="s">
        <v>38</v>
      </c>
      <c r="G60" s="54" t="s">
        <v>39</v>
      </c>
      <c r="H60" s="54" t="s">
        <v>678</v>
      </c>
      <c r="I60" s="54" t="s">
        <v>679</v>
      </c>
      <c r="J60" s="54" t="s">
        <v>42</v>
      </c>
      <c r="K60" s="76" t="s">
        <v>245</v>
      </c>
      <c r="L60" s="54" t="s">
        <v>26</v>
      </c>
      <c r="M60" s="54" t="s">
        <v>4</v>
      </c>
      <c r="N60" s="54" t="s">
        <v>6</v>
      </c>
      <c r="O60" s="54" t="s">
        <v>25</v>
      </c>
      <c r="P60" s="54" t="s">
        <v>7</v>
      </c>
      <c r="Q60" s="54" t="s">
        <v>680</v>
      </c>
      <c r="R60" s="54" t="s">
        <v>51</v>
      </c>
      <c r="S60" s="54" t="s">
        <v>681</v>
      </c>
      <c r="T60" s="54" t="s">
        <v>682</v>
      </c>
      <c r="U60" s="54" t="s">
        <v>683</v>
      </c>
      <c r="V60" s="54" t="s">
        <v>684</v>
      </c>
      <c r="W60" s="54" t="s">
        <v>685</v>
      </c>
      <c r="X60" s="54" t="s">
        <v>686</v>
      </c>
      <c r="Y60" s="54" t="s">
        <v>687</v>
      </c>
      <c r="Z60" s="54" t="s">
        <v>688</v>
      </c>
      <c r="AA60" s="54" t="s">
        <v>689</v>
      </c>
      <c r="AB60" s="54" t="s">
        <v>690</v>
      </c>
      <c r="AC60" s="54" t="s">
        <v>691</v>
      </c>
      <c r="AD60" s="54" t="s">
        <v>692</v>
      </c>
      <c r="AE60" s="65"/>
      <c r="AF60" s="57" t="s">
        <v>53</v>
      </c>
      <c r="AG60" s="57" t="s">
        <v>53</v>
      </c>
      <c r="AH60" s="57" t="s">
        <v>53</v>
      </c>
      <c r="AI60" s="57" t="s">
        <v>53</v>
      </c>
      <c r="AJ60" s="57" t="s">
        <v>53</v>
      </c>
      <c r="AK60" s="57" t="s">
        <v>53</v>
      </c>
      <c r="AL60" s="57" t="s">
        <v>53</v>
      </c>
      <c r="AM60" s="57" t="s">
        <v>53</v>
      </c>
      <c r="AN60" s="57" t="s">
        <v>53</v>
      </c>
      <c r="AO60" s="57" t="s">
        <v>53</v>
      </c>
      <c r="AP60" s="57" t="s">
        <v>53</v>
      </c>
      <c r="AQ60" s="57" t="s">
        <v>53</v>
      </c>
      <c r="AR60" s="57" t="s">
        <v>53</v>
      </c>
      <c r="AS60" s="57" t="s">
        <v>53</v>
      </c>
      <c r="AT60" s="57" t="s">
        <v>53</v>
      </c>
      <c r="AU60" s="57" t="s">
        <v>53</v>
      </c>
      <c r="AV60" s="57" t="s">
        <v>53</v>
      </c>
      <c r="AW60" s="57" t="s">
        <v>53</v>
      </c>
      <c r="AX60" s="57" t="s">
        <v>53</v>
      </c>
      <c r="AY60" s="57" t="s">
        <v>53</v>
      </c>
      <c r="AZ60" s="65"/>
      <c r="BA60" s="65"/>
      <c r="BB60" s="65"/>
      <c r="BC60" s="65"/>
    </row>
    <row r="61">
      <c r="A61" s="77" t="s">
        <v>17</v>
      </c>
      <c r="B61" s="78" t="s">
        <v>753</v>
      </c>
      <c r="C61" s="79" t="s">
        <v>754</v>
      </c>
      <c r="D61" s="78" t="s">
        <v>659</v>
      </c>
      <c r="E61" s="79">
        <v>26.0</v>
      </c>
      <c r="F61" s="79">
        <v>7994.0</v>
      </c>
      <c r="G61" s="79">
        <v>6076.0</v>
      </c>
      <c r="H61" s="80">
        <v>0.1610300925925926</v>
      </c>
      <c r="I61" s="79">
        <v>34.0</v>
      </c>
      <c r="J61" s="81">
        <v>1.3076923076923077</v>
      </c>
      <c r="K61" s="82">
        <v>87.72</v>
      </c>
      <c r="L61" s="83">
        <v>88.13</v>
      </c>
      <c r="M61" s="83">
        <v>86.5</v>
      </c>
      <c r="N61" s="83">
        <v>86.84</v>
      </c>
      <c r="O61" s="83">
        <v>83.55</v>
      </c>
      <c r="P61" s="83">
        <v>92.91</v>
      </c>
      <c r="Q61" s="84">
        <v>0.1115</v>
      </c>
      <c r="R61" s="84">
        <v>0.0254</v>
      </c>
      <c r="S61" s="84">
        <v>0.863</v>
      </c>
      <c r="T61" s="84">
        <v>0.0</v>
      </c>
      <c r="U61" s="84">
        <v>0.182</v>
      </c>
      <c r="V61" s="84">
        <v>0.0274</v>
      </c>
      <c r="W61" s="84">
        <v>0.047</v>
      </c>
      <c r="X61" s="84">
        <v>0.6067</v>
      </c>
      <c r="Y61" s="84">
        <v>0.0509</v>
      </c>
      <c r="Z61" s="84">
        <v>0.0391</v>
      </c>
      <c r="AA61" s="84">
        <v>0.0157</v>
      </c>
      <c r="AB61" s="84">
        <v>0.0</v>
      </c>
      <c r="AC61" s="84">
        <v>0.0176</v>
      </c>
      <c r="AD61" s="84">
        <v>0.0</v>
      </c>
      <c r="AE61" s="65"/>
      <c r="AF61" s="58">
        <f t="shared" ref="AF61:AY61" si="6">CORREL($J$61:$J$67,K61:K67)</f>
        <v>0.3425783569</v>
      </c>
      <c r="AG61" s="58">
        <f t="shared" si="6"/>
        <v>0.5863309772</v>
      </c>
      <c r="AH61" s="58">
        <f t="shared" si="6"/>
        <v>0.7858330349</v>
      </c>
      <c r="AI61" s="58">
        <f t="shared" si="6"/>
        <v>0.3365995748</v>
      </c>
      <c r="AJ61" s="58">
        <f t="shared" si="6"/>
        <v>-0.1451304974</v>
      </c>
      <c r="AK61" s="58">
        <f t="shared" si="6"/>
        <v>0.1553428177</v>
      </c>
      <c r="AL61" s="58">
        <f t="shared" si="6"/>
        <v>0.573761061</v>
      </c>
      <c r="AM61" s="58">
        <f t="shared" si="6"/>
        <v>-0.7889960219</v>
      </c>
      <c r="AN61" s="58">
        <f t="shared" si="6"/>
        <v>-0.3668566231</v>
      </c>
      <c r="AO61" s="58">
        <f t="shared" si="6"/>
        <v>-0.3513586626</v>
      </c>
      <c r="AP61" s="58">
        <f t="shared" si="6"/>
        <v>-0.8385898934</v>
      </c>
      <c r="AQ61" s="58">
        <f t="shared" si="6"/>
        <v>0.301028943</v>
      </c>
      <c r="AR61" s="58">
        <f t="shared" si="6"/>
        <v>0.9113780182</v>
      </c>
      <c r="AS61" s="58">
        <f t="shared" si="6"/>
        <v>0.2189239816</v>
      </c>
      <c r="AT61" s="58">
        <f t="shared" si="6"/>
        <v>0.2752355404</v>
      </c>
      <c r="AU61" s="58">
        <f t="shared" si="6"/>
        <v>0.2512052278</v>
      </c>
      <c r="AV61" s="58">
        <f t="shared" si="6"/>
        <v>0.01728891192</v>
      </c>
      <c r="AW61" s="58">
        <f t="shared" si="6"/>
        <v>0.5594717753</v>
      </c>
      <c r="AX61" s="58">
        <f t="shared" si="6"/>
        <v>0.2548287711</v>
      </c>
      <c r="AY61" s="58">
        <f t="shared" si="6"/>
        <v>-0.3700951379</v>
      </c>
      <c r="AZ61" s="65"/>
      <c r="BA61" s="65"/>
      <c r="BB61" s="65"/>
      <c r="BC61" s="65"/>
    </row>
    <row r="62">
      <c r="A62" s="77" t="s">
        <v>17</v>
      </c>
      <c r="B62" s="78" t="s">
        <v>753</v>
      </c>
      <c r="C62" s="79" t="s">
        <v>755</v>
      </c>
      <c r="D62" s="78" t="s">
        <v>663</v>
      </c>
      <c r="E62" s="79">
        <v>26.0</v>
      </c>
      <c r="F62" s="79">
        <v>7334.0</v>
      </c>
      <c r="G62" s="79">
        <v>6262.0</v>
      </c>
      <c r="H62" s="80">
        <v>0.12979166666666667</v>
      </c>
      <c r="I62" s="79">
        <v>34.0</v>
      </c>
      <c r="J62" s="81">
        <v>1.3076923076923077</v>
      </c>
      <c r="K62" s="82">
        <v>83.43</v>
      </c>
      <c r="L62" s="83">
        <v>84.32</v>
      </c>
      <c r="M62" s="83">
        <v>83.96</v>
      </c>
      <c r="N62" s="83">
        <v>83.4</v>
      </c>
      <c r="O62" s="83">
        <v>74.69</v>
      </c>
      <c r="P62" s="83">
        <v>88.72</v>
      </c>
      <c r="Q62" s="84">
        <v>0.0954</v>
      </c>
      <c r="R62" s="84">
        <v>0.0439</v>
      </c>
      <c r="S62" s="84">
        <v>0.8607</v>
      </c>
      <c r="T62" s="84">
        <v>0.0</v>
      </c>
      <c r="U62" s="84">
        <v>0.1698</v>
      </c>
      <c r="V62" s="84">
        <v>0.0134</v>
      </c>
      <c r="W62" s="84">
        <v>0.0573</v>
      </c>
      <c r="X62" s="84">
        <v>0.3969</v>
      </c>
      <c r="Y62" s="84">
        <v>0.1336</v>
      </c>
      <c r="Z62" s="84">
        <v>0.0534</v>
      </c>
      <c r="AA62" s="84">
        <v>0.042</v>
      </c>
      <c r="AB62" s="84">
        <v>0.0076</v>
      </c>
      <c r="AC62" s="84">
        <v>0.0382</v>
      </c>
      <c r="AD62" s="84">
        <v>0.0</v>
      </c>
      <c r="AE62" s="65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65"/>
      <c r="BA62" s="65"/>
      <c r="BB62" s="65"/>
      <c r="BC62" s="65"/>
    </row>
    <row r="63">
      <c r="A63" s="77" t="s">
        <v>17</v>
      </c>
      <c r="B63" s="78" t="s">
        <v>753</v>
      </c>
      <c r="C63" s="79" t="s">
        <v>756</v>
      </c>
      <c r="D63" s="78" t="s">
        <v>661</v>
      </c>
      <c r="E63" s="79">
        <v>24.0</v>
      </c>
      <c r="F63" s="79">
        <v>6786.0</v>
      </c>
      <c r="G63" s="79">
        <v>5249.0</v>
      </c>
      <c r="H63" s="80">
        <v>0.1446412037037037</v>
      </c>
      <c r="I63" s="79">
        <v>25.0</v>
      </c>
      <c r="J63" s="81">
        <v>1.0416666666666667</v>
      </c>
      <c r="K63" s="82">
        <v>86.61</v>
      </c>
      <c r="L63" s="83">
        <v>86.39</v>
      </c>
      <c r="M63" s="83">
        <v>84.68</v>
      </c>
      <c r="N63" s="83">
        <v>86.36</v>
      </c>
      <c r="O63" s="83">
        <v>82.91</v>
      </c>
      <c r="P63" s="83">
        <v>92.28</v>
      </c>
      <c r="Q63" s="84">
        <v>0.0585</v>
      </c>
      <c r="R63" s="84">
        <v>0.0407</v>
      </c>
      <c r="S63" s="84">
        <v>0.9008</v>
      </c>
      <c r="T63" s="84">
        <v>0.0016</v>
      </c>
      <c r="U63" s="84">
        <v>0.2504</v>
      </c>
      <c r="V63" s="84">
        <v>0.0179</v>
      </c>
      <c r="W63" s="84">
        <v>0.0325</v>
      </c>
      <c r="X63" s="84">
        <v>0.5187</v>
      </c>
      <c r="Y63" s="84">
        <v>0.0504</v>
      </c>
      <c r="Z63" s="84">
        <v>0.0618</v>
      </c>
      <c r="AA63" s="84">
        <v>0.0195</v>
      </c>
      <c r="AB63" s="84">
        <v>0.0016</v>
      </c>
      <c r="AC63" s="84">
        <v>0.0244</v>
      </c>
      <c r="AD63" s="84">
        <v>0.0049</v>
      </c>
      <c r="AE63" s="65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65"/>
      <c r="BA63" s="65"/>
      <c r="BB63" s="65"/>
      <c r="BC63" s="65"/>
    </row>
    <row r="64">
      <c r="A64" s="77" t="s">
        <v>17</v>
      </c>
      <c r="B64" s="78" t="s">
        <v>753</v>
      </c>
      <c r="C64" s="79" t="s">
        <v>757</v>
      </c>
      <c r="D64" s="78" t="s">
        <v>669</v>
      </c>
      <c r="E64" s="79">
        <v>26.0</v>
      </c>
      <c r="F64" s="79">
        <v>7957.0</v>
      </c>
      <c r="G64" s="79">
        <v>6526.0</v>
      </c>
      <c r="H64" s="80">
        <v>0.1477314814814815</v>
      </c>
      <c r="I64" s="79">
        <v>29.0</v>
      </c>
      <c r="J64" s="81">
        <v>1.1153846153846154</v>
      </c>
      <c r="K64" s="82">
        <v>84.98</v>
      </c>
      <c r="L64" s="83">
        <v>84.8</v>
      </c>
      <c r="M64" s="83">
        <v>83.81</v>
      </c>
      <c r="N64" s="83">
        <v>84.61</v>
      </c>
      <c r="O64" s="83">
        <v>79.53</v>
      </c>
      <c r="P64" s="83">
        <v>91.07</v>
      </c>
      <c r="Q64" s="84">
        <v>0.0653</v>
      </c>
      <c r="R64" s="84">
        <v>0.0429</v>
      </c>
      <c r="S64" s="84">
        <v>0.8918</v>
      </c>
      <c r="T64" s="84">
        <v>0.0</v>
      </c>
      <c r="U64" s="84">
        <v>0.2239</v>
      </c>
      <c r="V64" s="84">
        <v>0.0112</v>
      </c>
      <c r="W64" s="84">
        <v>0.0466</v>
      </c>
      <c r="X64" s="84">
        <v>0.5485</v>
      </c>
      <c r="Y64" s="84">
        <v>0.0616</v>
      </c>
      <c r="Z64" s="84">
        <v>0.0354</v>
      </c>
      <c r="AA64" s="84">
        <v>0.0299</v>
      </c>
      <c r="AB64" s="84">
        <v>0.0056</v>
      </c>
      <c r="AC64" s="84">
        <v>0.0261</v>
      </c>
      <c r="AD64" s="84">
        <v>0.0019</v>
      </c>
      <c r="AE64" s="65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65"/>
      <c r="BA64" s="65"/>
      <c r="BB64" s="65"/>
      <c r="BC64" s="65"/>
    </row>
    <row r="65">
      <c r="A65" s="77" t="s">
        <v>17</v>
      </c>
      <c r="B65" s="78" t="s">
        <v>753</v>
      </c>
      <c r="C65" s="79" t="s">
        <v>758</v>
      </c>
      <c r="D65" s="78" t="s">
        <v>671</v>
      </c>
      <c r="E65" s="79">
        <v>22.0</v>
      </c>
      <c r="F65" s="79">
        <v>5455.0</v>
      </c>
      <c r="G65" s="79">
        <v>4102.0</v>
      </c>
      <c r="H65" s="80">
        <v>0.16623842592592591</v>
      </c>
      <c r="I65" s="79">
        <v>13.0</v>
      </c>
      <c r="J65" s="81">
        <v>0.5909090909090909</v>
      </c>
      <c r="K65" s="82">
        <v>84.95</v>
      </c>
      <c r="L65" s="83">
        <v>84.02</v>
      </c>
      <c r="M65" s="83">
        <v>81.69</v>
      </c>
      <c r="N65" s="83">
        <v>84.93</v>
      </c>
      <c r="O65" s="83">
        <v>84.18</v>
      </c>
      <c r="P65" s="83">
        <v>90.62</v>
      </c>
      <c r="Q65" s="84">
        <v>0.0829</v>
      </c>
      <c r="R65" s="84">
        <v>0.0558</v>
      </c>
      <c r="S65" s="84">
        <v>0.8613</v>
      </c>
      <c r="T65" s="84">
        <v>0.0</v>
      </c>
      <c r="U65" s="84">
        <v>0.308</v>
      </c>
      <c r="V65" s="84">
        <v>0.0118</v>
      </c>
      <c r="W65" s="84">
        <v>0.0237</v>
      </c>
      <c r="X65" s="84">
        <v>0.5093</v>
      </c>
      <c r="Y65" s="84">
        <v>0.0508</v>
      </c>
      <c r="Z65" s="84">
        <v>0.0474</v>
      </c>
      <c r="AA65" s="84">
        <v>0.022</v>
      </c>
      <c r="AB65" s="84">
        <v>0.0</v>
      </c>
      <c r="AC65" s="84">
        <v>0.022</v>
      </c>
      <c r="AD65" s="84">
        <v>0.0017</v>
      </c>
      <c r="AE65" s="65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65"/>
      <c r="BA65" s="65"/>
      <c r="BB65" s="65"/>
      <c r="BC65" s="65"/>
    </row>
    <row r="66">
      <c r="A66" s="77" t="s">
        <v>17</v>
      </c>
      <c r="B66" s="78" t="s">
        <v>753</v>
      </c>
      <c r="C66" s="79" t="s">
        <v>759</v>
      </c>
      <c r="D66" s="78" t="s">
        <v>665</v>
      </c>
      <c r="E66" s="79">
        <v>25.0</v>
      </c>
      <c r="F66" s="79">
        <v>7530.0</v>
      </c>
      <c r="G66" s="79">
        <v>7045.0</v>
      </c>
      <c r="H66" s="80">
        <v>0.12797453703703704</v>
      </c>
      <c r="I66" s="79">
        <v>30.0</v>
      </c>
      <c r="J66" s="81">
        <v>1.2</v>
      </c>
      <c r="K66" s="82">
        <v>85.83</v>
      </c>
      <c r="L66" s="83">
        <v>86.51</v>
      </c>
      <c r="M66" s="83">
        <v>83.77</v>
      </c>
      <c r="N66" s="83">
        <v>86.11</v>
      </c>
      <c r="O66" s="83">
        <v>79.96</v>
      </c>
      <c r="P66" s="83">
        <v>91.82</v>
      </c>
      <c r="Q66" s="84">
        <v>0.1279</v>
      </c>
      <c r="R66" s="84">
        <v>0.0366</v>
      </c>
      <c r="S66" s="84">
        <v>0.8355</v>
      </c>
      <c r="T66" s="84">
        <v>0.0</v>
      </c>
      <c r="U66" s="84">
        <v>0.0966</v>
      </c>
      <c r="V66" s="84">
        <v>0.0131</v>
      </c>
      <c r="W66" s="84">
        <v>0.0522</v>
      </c>
      <c r="X66" s="84">
        <v>0.6632</v>
      </c>
      <c r="Y66" s="84">
        <v>0.0418</v>
      </c>
      <c r="Z66" s="84">
        <v>0.0627</v>
      </c>
      <c r="AA66" s="84">
        <v>0.0104</v>
      </c>
      <c r="AB66" s="84">
        <v>0.0026</v>
      </c>
      <c r="AC66" s="84">
        <v>0.0366</v>
      </c>
      <c r="AD66" s="84">
        <v>0.0026</v>
      </c>
      <c r="AE66" s="65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65"/>
      <c r="BA66" s="65"/>
      <c r="BB66" s="65"/>
      <c r="BC66" s="65"/>
    </row>
    <row r="67">
      <c r="A67" s="77" t="s">
        <v>17</v>
      </c>
      <c r="B67" s="78" t="s">
        <v>753</v>
      </c>
      <c r="C67" s="79" t="s">
        <v>760</v>
      </c>
      <c r="D67" s="78" t="s">
        <v>667</v>
      </c>
      <c r="E67" s="79">
        <v>27.0</v>
      </c>
      <c r="F67" s="79">
        <v>6015.0</v>
      </c>
      <c r="G67" s="79">
        <v>5049.0</v>
      </c>
      <c r="H67" s="80">
        <v>0.1515162037037037</v>
      </c>
      <c r="I67" s="79">
        <v>19.0</v>
      </c>
      <c r="J67" s="81">
        <v>0.7037037037037037</v>
      </c>
      <c r="K67" s="82">
        <v>83.72</v>
      </c>
      <c r="L67" s="83">
        <v>84.39</v>
      </c>
      <c r="M67" s="83">
        <v>82.96</v>
      </c>
      <c r="N67" s="83">
        <v>83.31</v>
      </c>
      <c r="O67" s="83">
        <v>75.7</v>
      </c>
      <c r="P67" s="83">
        <v>90.54</v>
      </c>
      <c r="Q67" s="84">
        <v>0.0472</v>
      </c>
      <c r="R67" s="84">
        <v>0.0472</v>
      </c>
      <c r="S67" s="84">
        <v>0.9055</v>
      </c>
      <c r="T67" s="84">
        <v>0.0013</v>
      </c>
      <c r="U67" s="84">
        <v>0.2901</v>
      </c>
      <c r="V67" s="84">
        <v>0.0175</v>
      </c>
      <c r="W67" s="84">
        <v>0.0135</v>
      </c>
      <c r="X67" s="84">
        <v>0.4845</v>
      </c>
      <c r="Y67" s="84">
        <v>0.0715</v>
      </c>
      <c r="Z67" s="84">
        <v>0.0351</v>
      </c>
      <c r="AA67" s="84">
        <v>0.0283</v>
      </c>
      <c r="AB67" s="84">
        <v>0.0</v>
      </c>
      <c r="AC67" s="84">
        <v>0.0297</v>
      </c>
      <c r="AD67" s="84">
        <v>0.0027</v>
      </c>
      <c r="AE67" s="65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65"/>
      <c r="BA67" s="65"/>
      <c r="BB67" s="65"/>
      <c r="BC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56"/>
      <c r="M68" s="55"/>
      <c r="N68" s="55"/>
      <c r="O68" s="56"/>
      <c r="P68" s="56"/>
      <c r="Q68" s="56"/>
      <c r="R68" s="56"/>
      <c r="S68" s="56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56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56"/>
      <c r="M69" s="55"/>
      <c r="N69" s="55"/>
      <c r="O69" s="56"/>
      <c r="P69" s="56"/>
      <c r="Q69" s="56"/>
      <c r="R69" s="56"/>
      <c r="S69" s="56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56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56"/>
      <c r="M70" s="55"/>
      <c r="N70" s="55"/>
      <c r="O70" s="56"/>
      <c r="P70" s="56"/>
      <c r="Q70" s="56"/>
      <c r="R70" s="56"/>
      <c r="S70" s="56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56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56"/>
      <c r="M71" s="55"/>
      <c r="N71" s="55"/>
      <c r="O71" s="56"/>
      <c r="P71" s="56"/>
      <c r="Q71" s="56"/>
      <c r="R71" s="56"/>
      <c r="S71" s="56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56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56"/>
      <c r="M72" s="55"/>
      <c r="N72" s="55"/>
      <c r="O72" s="56"/>
      <c r="P72" s="56"/>
      <c r="Q72" s="56"/>
      <c r="R72" s="56"/>
      <c r="S72" s="56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56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56"/>
      <c r="M73" s="56"/>
      <c r="N73" s="56"/>
      <c r="O73" s="56"/>
      <c r="P73" s="56"/>
      <c r="Q73" s="56"/>
      <c r="R73" s="56"/>
      <c r="S73" s="56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56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56"/>
      <c r="M74" s="55"/>
      <c r="N74" s="55"/>
      <c r="O74" s="56"/>
      <c r="P74" s="56"/>
      <c r="Q74" s="56"/>
      <c r="R74" s="56"/>
      <c r="S74" s="56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56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56"/>
      <c r="M75" s="55"/>
      <c r="N75" s="55"/>
      <c r="O75" s="56"/>
      <c r="P75" s="56"/>
      <c r="Q75" s="56"/>
      <c r="R75" s="56"/>
      <c r="S75" s="56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56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56"/>
      <c r="M76" s="55"/>
      <c r="N76" s="55"/>
      <c r="O76" s="56"/>
      <c r="P76" s="56"/>
      <c r="Q76" s="56"/>
      <c r="R76" s="56"/>
      <c r="S76" s="56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56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56"/>
      <c r="M77" s="55"/>
      <c r="N77" s="55"/>
      <c r="O77" s="56"/>
      <c r="P77" s="56"/>
      <c r="Q77" s="56"/>
      <c r="R77" s="56"/>
      <c r="S77" s="56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56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56"/>
      <c r="M78" s="55"/>
      <c r="N78" s="55"/>
      <c r="O78" s="56"/>
      <c r="P78" s="56"/>
      <c r="Q78" s="56"/>
      <c r="R78" s="56"/>
      <c r="S78" s="56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56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56"/>
      <c r="M79" s="55"/>
      <c r="N79" s="55"/>
      <c r="O79" s="56"/>
      <c r="P79" s="56"/>
      <c r="Q79" s="56"/>
      <c r="R79" s="56"/>
      <c r="S79" s="56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56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56"/>
      <c r="M80" s="55"/>
      <c r="N80" s="55"/>
      <c r="O80" s="56"/>
      <c r="P80" s="56"/>
      <c r="Q80" s="56"/>
      <c r="R80" s="56"/>
      <c r="S80" s="56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56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56"/>
      <c r="M81" s="55"/>
      <c r="N81" s="55"/>
      <c r="O81" s="56"/>
      <c r="P81" s="56"/>
      <c r="Q81" s="56"/>
      <c r="R81" s="56"/>
      <c r="S81" s="56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56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56"/>
      <c r="M82" s="56"/>
      <c r="N82" s="56"/>
      <c r="O82" s="56"/>
      <c r="P82" s="56"/>
      <c r="Q82" s="56"/>
      <c r="R82" s="56"/>
      <c r="S82" s="56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56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56"/>
      <c r="M83" s="55"/>
      <c r="N83" s="55"/>
      <c r="O83" s="56"/>
      <c r="P83" s="56"/>
      <c r="Q83" s="56"/>
      <c r="R83" s="56"/>
      <c r="S83" s="56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56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56"/>
      <c r="M84" s="55"/>
      <c r="N84" s="55"/>
      <c r="O84" s="56"/>
      <c r="P84" s="56"/>
      <c r="Q84" s="56"/>
      <c r="R84" s="56"/>
      <c r="S84" s="56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56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56"/>
      <c r="M85" s="55"/>
      <c r="N85" s="55"/>
      <c r="O85" s="56"/>
      <c r="P85" s="56"/>
      <c r="Q85" s="56"/>
      <c r="R85" s="56"/>
      <c r="S85" s="56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56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56"/>
      <c r="M86" s="55"/>
      <c r="N86" s="55"/>
      <c r="O86" s="56"/>
      <c r="P86" s="56"/>
      <c r="Q86" s="56"/>
      <c r="R86" s="56"/>
      <c r="S86" s="56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56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56"/>
      <c r="M87" s="55"/>
      <c r="N87" s="56"/>
      <c r="O87" s="56"/>
      <c r="P87" s="56"/>
      <c r="Q87" s="56"/>
      <c r="R87" s="56"/>
      <c r="S87" s="56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56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56"/>
      <c r="M88" s="56"/>
      <c r="N88" s="56"/>
      <c r="O88" s="56"/>
      <c r="P88" s="56"/>
      <c r="Q88" s="56"/>
      <c r="R88" s="56"/>
      <c r="S88" s="56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56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56"/>
      <c r="M89" s="55"/>
      <c r="N89" s="55"/>
      <c r="O89" s="56"/>
      <c r="P89" s="56"/>
      <c r="Q89" s="56"/>
      <c r="R89" s="56"/>
      <c r="S89" s="56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56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56"/>
      <c r="M90" s="55"/>
      <c r="N90" s="55"/>
      <c r="O90" s="56"/>
      <c r="P90" s="56"/>
      <c r="Q90" s="56"/>
      <c r="R90" s="56"/>
      <c r="S90" s="56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56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56"/>
      <c r="M91" s="55"/>
      <c r="N91" s="55"/>
      <c r="O91" s="56"/>
      <c r="P91" s="56"/>
      <c r="Q91" s="56"/>
      <c r="R91" s="56"/>
      <c r="S91" s="56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56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56"/>
      <c r="M92" s="55"/>
      <c r="N92" s="55"/>
      <c r="O92" s="56"/>
      <c r="P92" s="56"/>
      <c r="Q92" s="56"/>
      <c r="R92" s="56"/>
      <c r="S92" s="56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56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56"/>
      <c r="M93" s="55"/>
      <c r="N93" s="55"/>
      <c r="O93" s="56"/>
      <c r="P93" s="56"/>
      <c r="Q93" s="56"/>
      <c r="R93" s="56"/>
      <c r="S93" s="56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56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56"/>
      <c r="M94" s="55"/>
      <c r="N94" s="55"/>
      <c r="O94" s="56"/>
      <c r="P94" s="56"/>
      <c r="Q94" s="56"/>
      <c r="R94" s="56"/>
      <c r="S94" s="56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56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56"/>
      <c r="M95" s="55"/>
      <c r="N95" s="55"/>
      <c r="O95" s="56"/>
      <c r="P95" s="56"/>
      <c r="Q95" s="56"/>
      <c r="R95" s="56"/>
      <c r="S95" s="56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56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56"/>
      <c r="M96" s="55"/>
      <c r="N96" s="55"/>
      <c r="O96" s="56"/>
      <c r="P96" s="56"/>
      <c r="Q96" s="56"/>
      <c r="R96" s="56"/>
      <c r="S96" s="56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56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56"/>
      <c r="M97" s="55"/>
      <c r="N97" s="55"/>
      <c r="O97" s="56"/>
      <c r="P97" s="56"/>
      <c r="Q97" s="56"/>
      <c r="R97" s="56"/>
      <c r="S97" s="56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56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56"/>
      <c r="M98" s="55"/>
      <c r="N98" s="55"/>
      <c r="O98" s="56"/>
      <c r="P98" s="56"/>
      <c r="Q98" s="56"/>
      <c r="R98" s="56"/>
      <c r="S98" s="56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56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56"/>
      <c r="M99" s="55"/>
      <c r="N99" s="55"/>
      <c r="O99" s="56"/>
      <c r="P99" s="56"/>
      <c r="Q99" s="56"/>
      <c r="R99" s="56"/>
      <c r="S99" s="56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56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56"/>
      <c r="M100" s="55"/>
      <c r="N100" s="55"/>
      <c r="O100" s="56"/>
      <c r="P100" s="56"/>
      <c r="Q100" s="56"/>
      <c r="R100" s="56"/>
      <c r="S100" s="56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56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56"/>
      <c r="M101" s="55"/>
      <c r="N101" s="55"/>
      <c r="O101" s="56"/>
      <c r="P101" s="56"/>
      <c r="Q101" s="56"/>
      <c r="R101" s="56"/>
      <c r="S101" s="56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56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56"/>
      <c r="M102" s="55"/>
      <c r="N102" s="55"/>
      <c r="O102" s="56"/>
      <c r="P102" s="56"/>
      <c r="Q102" s="56"/>
      <c r="R102" s="56"/>
      <c r="S102" s="56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56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56"/>
      <c r="M103" s="55"/>
      <c r="N103" s="55"/>
      <c r="O103" s="56"/>
      <c r="P103" s="56"/>
      <c r="Q103" s="56"/>
      <c r="R103" s="56"/>
      <c r="S103" s="56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56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56"/>
      <c r="M104" s="55"/>
      <c r="N104" s="55"/>
      <c r="O104" s="56"/>
      <c r="P104" s="56"/>
      <c r="Q104" s="56"/>
      <c r="R104" s="56"/>
      <c r="S104" s="56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56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56"/>
      <c r="M105" s="55"/>
      <c r="N105" s="55"/>
      <c r="O105" s="56"/>
      <c r="P105" s="56"/>
      <c r="Q105" s="56"/>
      <c r="R105" s="56"/>
      <c r="S105" s="56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56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56"/>
      <c r="M106" s="55"/>
      <c r="N106" s="55"/>
      <c r="O106" s="56"/>
      <c r="P106" s="56"/>
      <c r="Q106" s="56"/>
      <c r="R106" s="56"/>
      <c r="S106" s="56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56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56"/>
      <c r="M107" s="55"/>
      <c r="N107" s="56"/>
      <c r="O107" s="56"/>
      <c r="P107" s="56"/>
      <c r="Q107" s="56"/>
      <c r="R107" s="56"/>
      <c r="S107" s="56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56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56"/>
      <c r="M108" s="55"/>
      <c r="N108" s="55"/>
      <c r="O108" s="56"/>
      <c r="P108" s="56"/>
      <c r="Q108" s="56"/>
      <c r="R108" s="56"/>
      <c r="S108" s="56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56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56"/>
      <c r="M109" s="55"/>
      <c r="N109" s="55"/>
      <c r="O109" s="56"/>
      <c r="P109" s="56"/>
      <c r="Q109" s="56"/>
      <c r="R109" s="56"/>
      <c r="S109" s="56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56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56"/>
      <c r="M110" s="55"/>
      <c r="N110" s="55"/>
      <c r="O110" s="56"/>
      <c r="P110" s="56"/>
      <c r="Q110" s="56"/>
      <c r="R110" s="56"/>
      <c r="S110" s="56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56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56"/>
      <c r="M111" s="55"/>
      <c r="N111" s="55"/>
      <c r="O111" s="56"/>
      <c r="P111" s="56"/>
      <c r="Q111" s="56"/>
      <c r="R111" s="56"/>
      <c r="S111" s="56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56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56"/>
      <c r="M112" s="55"/>
      <c r="N112" s="55"/>
      <c r="O112" s="56"/>
      <c r="P112" s="56"/>
      <c r="Q112" s="56"/>
      <c r="R112" s="56"/>
      <c r="S112" s="56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56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56"/>
      <c r="M113" s="55"/>
      <c r="N113" s="55"/>
      <c r="O113" s="56"/>
      <c r="P113" s="56"/>
      <c r="Q113" s="56"/>
      <c r="R113" s="56"/>
      <c r="S113" s="56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56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56"/>
      <c r="M114" s="55"/>
      <c r="N114" s="55"/>
      <c r="O114" s="56"/>
      <c r="P114" s="56"/>
      <c r="Q114" s="56"/>
      <c r="R114" s="56"/>
      <c r="S114" s="56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56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56"/>
      <c r="M115" s="55"/>
      <c r="N115" s="55"/>
      <c r="O115" s="56"/>
      <c r="P115" s="56"/>
      <c r="Q115" s="56"/>
      <c r="R115" s="56"/>
      <c r="S115" s="56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56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56"/>
      <c r="M116" s="55"/>
      <c r="N116" s="56"/>
      <c r="O116" s="56"/>
      <c r="P116" s="56"/>
      <c r="Q116" s="56"/>
      <c r="R116" s="56"/>
      <c r="S116" s="56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56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56"/>
      <c r="M117" s="55"/>
      <c r="N117" s="55"/>
      <c r="O117" s="56"/>
      <c r="P117" s="56"/>
      <c r="Q117" s="56"/>
      <c r="R117" s="56"/>
      <c r="S117" s="56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56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56"/>
      <c r="M118" s="55"/>
      <c r="N118" s="55"/>
      <c r="O118" s="56"/>
      <c r="P118" s="56"/>
      <c r="Q118" s="56"/>
      <c r="R118" s="56"/>
      <c r="S118" s="56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56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56"/>
      <c r="M119" s="55"/>
      <c r="N119" s="55"/>
      <c r="O119" s="56"/>
      <c r="P119" s="56"/>
      <c r="Q119" s="56"/>
      <c r="R119" s="56"/>
      <c r="S119" s="56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56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56"/>
      <c r="M120" s="55"/>
      <c r="N120" s="55"/>
      <c r="O120" s="56"/>
      <c r="P120" s="56"/>
      <c r="Q120" s="56"/>
      <c r="R120" s="56"/>
      <c r="S120" s="56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56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56"/>
      <c r="M121" s="55"/>
      <c r="N121" s="55"/>
      <c r="O121" s="56"/>
      <c r="P121" s="56"/>
      <c r="Q121" s="56"/>
      <c r="R121" s="56"/>
      <c r="S121" s="56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56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56"/>
      <c r="M122" s="55"/>
      <c r="N122" s="55"/>
      <c r="O122" s="56"/>
      <c r="P122" s="56"/>
      <c r="Q122" s="56"/>
      <c r="R122" s="56"/>
      <c r="S122" s="56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56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56"/>
      <c r="M123" s="55"/>
      <c r="N123" s="55"/>
      <c r="O123" s="56"/>
      <c r="P123" s="56"/>
      <c r="Q123" s="56"/>
      <c r="R123" s="56"/>
      <c r="S123" s="56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56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56"/>
      <c r="M124" s="55"/>
      <c r="N124" s="55"/>
      <c r="O124" s="56"/>
      <c r="P124" s="56"/>
      <c r="Q124" s="56"/>
      <c r="R124" s="56"/>
      <c r="S124" s="56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56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56"/>
      <c r="M125" s="55"/>
      <c r="N125" s="55"/>
      <c r="O125" s="56"/>
      <c r="P125" s="56"/>
      <c r="Q125" s="56"/>
      <c r="R125" s="56"/>
      <c r="S125" s="56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56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56"/>
      <c r="M126" s="55"/>
      <c r="N126" s="55"/>
      <c r="O126" s="56"/>
      <c r="P126" s="56"/>
      <c r="Q126" s="56"/>
      <c r="R126" s="56"/>
      <c r="S126" s="56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56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56"/>
      <c r="M127" s="55"/>
      <c r="N127" s="55"/>
      <c r="O127" s="56"/>
      <c r="P127" s="56"/>
      <c r="Q127" s="56"/>
      <c r="R127" s="56"/>
      <c r="S127" s="56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56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56"/>
      <c r="M128" s="55"/>
      <c r="N128" s="55"/>
      <c r="O128" s="56"/>
      <c r="P128" s="56"/>
      <c r="Q128" s="56"/>
      <c r="R128" s="56"/>
      <c r="S128" s="56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56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56"/>
      <c r="M129" s="55"/>
      <c r="N129" s="55"/>
      <c r="O129" s="56"/>
      <c r="P129" s="56"/>
      <c r="Q129" s="56"/>
      <c r="R129" s="56"/>
      <c r="S129" s="56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56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56"/>
      <c r="M130" s="55"/>
      <c r="N130" s="55"/>
      <c r="O130" s="56"/>
      <c r="P130" s="56"/>
      <c r="Q130" s="56"/>
      <c r="R130" s="56"/>
      <c r="S130" s="56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56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56"/>
      <c r="M131" s="55"/>
      <c r="N131" s="55"/>
      <c r="O131" s="56"/>
      <c r="P131" s="56"/>
      <c r="Q131" s="56"/>
      <c r="R131" s="56"/>
      <c r="S131" s="56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56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56"/>
      <c r="M132" s="55"/>
      <c r="N132" s="55"/>
      <c r="O132" s="56"/>
      <c r="P132" s="56"/>
      <c r="Q132" s="56"/>
      <c r="R132" s="56"/>
      <c r="S132" s="56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56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56"/>
      <c r="M133" s="55"/>
      <c r="N133" s="55"/>
      <c r="O133" s="56"/>
      <c r="P133" s="56"/>
      <c r="Q133" s="56"/>
      <c r="R133" s="56"/>
      <c r="S133" s="56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56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56"/>
      <c r="M134" s="55"/>
      <c r="N134" s="55"/>
      <c r="O134" s="56"/>
      <c r="P134" s="56"/>
      <c r="Q134" s="56"/>
      <c r="R134" s="56"/>
      <c r="S134" s="56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56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56"/>
      <c r="M135" s="55"/>
      <c r="N135" s="55"/>
      <c r="O135" s="56"/>
      <c r="P135" s="56"/>
      <c r="Q135" s="56"/>
      <c r="R135" s="56"/>
      <c r="S135" s="56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56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56"/>
      <c r="M136" s="55"/>
      <c r="N136" s="55"/>
      <c r="O136" s="56"/>
      <c r="P136" s="56"/>
      <c r="Q136" s="56"/>
      <c r="R136" s="56"/>
      <c r="S136" s="56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56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56"/>
      <c r="M137" s="55"/>
      <c r="N137" s="55"/>
      <c r="O137" s="56"/>
      <c r="P137" s="56"/>
      <c r="Q137" s="56"/>
      <c r="R137" s="56"/>
      <c r="S137" s="56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56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56"/>
      <c r="M138" s="55"/>
      <c r="N138" s="55"/>
      <c r="O138" s="56"/>
      <c r="P138" s="56"/>
      <c r="Q138" s="56"/>
      <c r="R138" s="56"/>
      <c r="S138" s="56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56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56"/>
      <c r="M139" s="55"/>
      <c r="N139" s="55"/>
      <c r="O139" s="56"/>
      <c r="P139" s="56"/>
      <c r="Q139" s="56"/>
      <c r="R139" s="56"/>
      <c r="S139" s="56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56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56"/>
      <c r="M140" s="55"/>
      <c r="N140" s="55"/>
      <c r="O140" s="56"/>
      <c r="P140" s="56"/>
      <c r="Q140" s="56"/>
      <c r="R140" s="56"/>
      <c r="S140" s="56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56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56"/>
      <c r="M141" s="55"/>
      <c r="N141" s="55"/>
      <c r="O141" s="56"/>
      <c r="P141" s="56"/>
      <c r="Q141" s="56"/>
      <c r="R141" s="56"/>
      <c r="S141" s="56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56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56"/>
      <c r="M142" s="55"/>
      <c r="N142" s="55"/>
      <c r="O142" s="56"/>
      <c r="P142" s="56"/>
      <c r="Q142" s="56"/>
      <c r="R142" s="56"/>
      <c r="S142" s="56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56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56"/>
      <c r="M143" s="55"/>
      <c r="N143" s="55"/>
      <c r="O143" s="56"/>
      <c r="P143" s="56"/>
      <c r="Q143" s="56"/>
      <c r="R143" s="56"/>
      <c r="S143" s="56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56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56"/>
      <c r="M144" s="55"/>
      <c r="N144" s="55"/>
      <c r="O144" s="56"/>
      <c r="P144" s="56"/>
      <c r="Q144" s="56"/>
      <c r="R144" s="56"/>
      <c r="S144" s="56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56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56"/>
      <c r="M145" s="55"/>
      <c r="N145" s="55"/>
      <c r="O145" s="56"/>
      <c r="P145" s="56"/>
      <c r="Q145" s="56"/>
      <c r="R145" s="56"/>
      <c r="S145" s="56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56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56"/>
      <c r="M146" s="55"/>
      <c r="N146" s="55"/>
      <c r="O146" s="56"/>
      <c r="P146" s="56"/>
      <c r="Q146" s="56"/>
      <c r="R146" s="56"/>
      <c r="S146" s="56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56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56"/>
      <c r="M147" s="55"/>
      <c r="N147" s="55"/>
      <c r="O147" s="56"/>
      <c r="P147" s="56"/>
      <c r="Q147" s="56"/>
      <c r="R147" s="56"/>
      <c r="S147" s="56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56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56"/>
      <c r="M148" s="55"/>
      <c r="N148" s="55"/>
      <c r="O148" s="56"/>
      <c r="P148" s="56"/>
      <c r="Q148" s="56"/>
      <c r="R148" s="56"/>
      <c r="S148" s="56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56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56"/>
      <c r="M149" s="55"/>
      <c r="N149" s="55"/>
      <c r="O149" s="56"/>
      <c r="P149" s="56"/>
      <c r="Q149" s="56"/>
      <c r="R149" s="56"/>
      <c r="S149" s="56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56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56"/>
      <c r="M150" s="55"/>
      <c r="N150" s="55"/>
      <c r="O150" s="56"/>
      <c r="P150" s="56"/>
      <c r="Q150" s="56"/>
      <c r="R150" s="56"/>
      <c r="S150" s="56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56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56"/>
      <c r="M151" s="55"/>
      <c r="N151" s="55"/>
      <c r="O151" s="56"/>
      <c r="P151" s="56"/>
      <c r="Q151" s="56"/>
      <c r="R151" s="56"/>
      <c r="S151" s="56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56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56"/>
      <c r="M152" s="55"/>
      <c r="N152" s="55"/>
      <c r="O152" s="56"/>
      <c r="P152" s="56"/>
      <c r="Q152" s="56"/>
      <c r="R152" s="56"/>
      <c r="S152" s="56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56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56"/>
      <c r="M153" s="55"/>
      <c r="N153" s="55"/>
      <c r="O153" s="56"/>
      <c r="P153" s="56"/>
      <c r="Q153" s="56"/>
      <c r="R153" s="56"/>
      <c r="S153" s="56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56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56"/>
      <c r="M154" s="55"/>
      <c r="N154" s="55"/>
      <c r="O154" s="56"/>
      <c r="P154" s="56"/>
      <c r="Q154" s="56"/>
      <c r="R154" s="56"/>
      <c r="S154" s="56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56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56"/>
      <c r="M155" s="55"/>
      <c r="N155" s="55"/>
      <c r="O155" s="56"/>
      <c r="P155" s="56"/>
      <c r="Q155" s="56"/>
      <c r="R155" s="56"/>
      <c r="S155" s="56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56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56"/>
      <c r="M156" s="55"/>
      <c r="N156" s="55"/>
      <c r="O156" s="56"/>
      <c r="P156" s="56"/>
      <c r="Q156" s="56"/>
      <c r="R156" s="56"/>
      <c r="S156" s="56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56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56"/>
      <c r="M157" s="55"/>
      <c r="N157" s="55"/>
      <c r="O157" s="56"/>
      <c r="P157" s="56"/>
      <c r="Q157" s="56"/>
      <c r="R157" s="56"/>
      <c r="S157" s="56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56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56"/>
      <c r="M158" s="55"/>
      <c r="N158" s="55"/>
      <c r="O158" s="56"/>
      <c r="P158" s="56"/>
      <c r="Q158" s="56"/>
      <c r="R158" s="56"/>
      <c r="S158" s="56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56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56"/>
      <c r="M159" s="55"/>
      <c r="N159" s="55"/>
      <c r="O159" s="56"/>
      <c r="P159" s="56"/>
      <c r="Q159" s="56"/>
      <c r="R159" s="56"/>
      <c r="S159" s="56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56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56"/>
      <c r="M160" s="55"/>
      <c r="N160" s="55"/>
      <c r="O160" s="56"/>
      <c r="P160" s="56"/>
      <c r="Q160" s="56"/>
      <c r="R160" s="56"/>
      <c r="S160" s="56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56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56"/>
      <c r="M161" s="55"/>
      <c r="N161" s="55"/>
      <c r="O161" s="56"/>
      <c r="P161" s="56"/>
      <c r="Q161" s="56"/>
      <c r="R161" s="56"/>
      <c r="S161" s="56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56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56"/>
      <c r="M162" s="55"/>
      <c r="N162" s="55"/>
      <c r="O162" s="56"/>
      <c r="P162" s="56"/>
      <c r="Q162" s="56"/>
      <c r="R162" s="56"/>
      <c r="S162" s="56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56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56"/>
      <c r="M163" s="55"/>
      <c r="N163" s="55"/>
      <c r="O163" s="56"/>
      <c r="P163" s="56"/>
      <c r="Q163" s="56"/>
      <c r="R163" s="56"/>
      <c r="S163" s="56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56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56"/>
      <c r="M164" s="55"/>
      <c r="N164" s="55"/>
      <c r="O164" s="56"/>
      <c r="P164" s="56"/>
      <c r="Q164" s="56"/>
      <c r="R164" s="56"/>
      <c r="S164" s="56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56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56"/>
      <c r="M165" s="55"/>
      <c r="N165" s="55"/>
      <c r="O165" s="56"/>
      <c r="P165" s="56"/>
      <c r="Q165" s="56"/>
      <c r="R165" s="56"/>
      <c r="S165" s="56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56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56"/>
      <c r="M166" s="55"/>
      <c r="N166" s="55"/>
      <c r="O166" s="56"/>
      <c r="P166" s="56"/>
      <c r="Q166" s="56"/>
      <c r="R166" s="56"/>
      <c r="S166" s="56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56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56"/>
      <c r="M167" s="55"/>
      <c r="N167" s="55"/>
      <c r="O167" s="56"/>
      <c r="P167" s="56"/>
      <c r="Q167" s="56"/>
      <c r="R167" s="56"/>
      <c r="S167" s="56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56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56"/>
      <c r="M168" s="55"/>
      <c r="N168" s="55"/>
      <c r="O168" s="56"/>
      <c r="P168" s="56"/>
      <c r="Q168" s="56"/>
      <c r="R168" s="56"/>
      <c r="S168" s="56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56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56"/>
      <c r="M169" s="55"/>
      <c r="N169" s="55"/>
      <c r="O169" s="56"/>
      <c r="P169" s="56"/>
      <c r="Q169" s="56"/>
      <c r="R169" s="56"/>
      <c r="S169" s="56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56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56"/>
      <c r="M170" s="55"/>
      <c r="N170" s="55"/>
      <c r="O170" s="56"/>
      <c r="P170" s="56"/>
      <c r="Q170" s="56"/>
      <c r="R170" s="56"/>
      <c r="S170" s="56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56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56"/>
      <c r="M171" s="55"/>
      <c r="N171" s="55"/>
      <c r="O171" s="56"/>
      <c r="P171" s="56"/>
      <c r="Q171" s="56"/>
      <c r="R171" s="56"/>
      <c r="S171" s="56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56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56"/>
      <c r="M172" s="55"/>
      <c r="N172" s="55"/>
      <c r="O172" s="56"/>
      <c r="P172" s="56"/>
      <c r="Q172" s="56"/>
      <c r="R172" s="56"/>
      <c r="S172" s="56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56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56"/>
      <c r="M173" s="55"/>
      <c r="N173" s="55"/>
      <c r="O173" s="56"/>
      <c r="P173" s="56"/>
      <c r="Q173" s="56"/>
      <c r="R173" s="56"/>
      <c r="S173" s="56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56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56"/>
      <c r="M174" s="55"/>
      <c r="N174" s="55"/>
      <c r="O174" s="56"/>
      <c r="P174" s="56"/>
      <c r="Q174" s="56"/>
      <c r="R174" s="56"/>
      <c r="S174" s="56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56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56"/>
      <c r="M175" s="55"/>
      <c r="N175" s="55"/>
      <c r="O175" s="56"/>
      <c r="P175" s="56"/>
      <c r="Q175" s="56"/>
      <c r="R175" s="56"/>
      <c r="S175" s="56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56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56"/>
      <c r="M176" s="55"/>
      <c r="N176" s="55"/>
      <c r="O176" s="56"/>
      <c r="P176" s="56"/>
      <c r="Q176" s="56"/>
      <c r="R176" s="56"/>
      <c r="S176" s="56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56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56"/>
      <c r="M177" s="55"/>
      <c r="N177" s="55"/>
      <c r="O177" s="56"/>
      <c r="P177" s="56"/>
      <c r="Q177" s="56"/>
      <c r="R177" s="56"/>
      <c r="S177" s="56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56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56"/>
      <c r="M178" s="55"/>
      <c r="N178" s="55"/>
      <c r="O178" s="56"/>
      <c r="P178" s="56"/>
      <c r="Q178" s="56"/>
      <c r="R178" s="56"/>
      <c r="S178" s="56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56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56"/>
      <c r="M179" s="55"/>
      <c r="N179" s="55"/>
      <c r="O179" s="56"/>
      <c r="P179" s="56"/>
      <c r="Q179" s="56"/>
      <c r="R179" s="56"/>
      <c r="S179" s="56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56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56"/>
      <c r="M180" s="55"/>
      <c r="N180" s="55"/>
      <c r="O180" s="56"/>
      <c r="P180" s="56"/>
      <c r="Q180" s="56"/>
      <c r="R180" s="56"/>
      <c r="S180" s="56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56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56"/>
      <c r="M181" s="55"/>
      <c r="N181" s="55"/>
      <c r="O181" s="56"/>
      <c r="P181" s="56"/>
      <c r="Q181" s="56"/>
      <c r="R181" s="56"/>
      <c r="S181" s="56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56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56"/>
      <c r="M182" s="55"/>
      <c r="N182" s="55"/>
      <c r="O182" s="56"/>
      <c r="P182" s="56"/>
      <c r="Q182" s="56"/>
      <c r="R182" s="56"/>
      <c r="S182" s="56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56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56"/>
      <c r="M183" s="55"/>
      <c r="N183" s="55"/>
      <c r="O183" s="56"/>
      <c r="P183" s="56"/>
      <c r="Q183" s="56"/>
      <c r="R183" s="56"/>
      <c r="S183" s="56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56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56"/>
      <c r="M184" s="55"/>
      <c r="N184" s="55"/>
      <c r="O184" s="56"/>
      <c r="P184" s="56"/>
      <c r="Q184" s="56"/>
      <c r="R184" s="56"/>
      <c r="S184" s="56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56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56"/>
      <c r="M185" s="55"/>
      <c r="N185" s="55"/>
      <c r="O185" s="56"/>
      <c r="P185" s="56"/>
      <c r="Q185" s="56"/>
      <c r="R185" s="56"/>
      <c r="S185" s="56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56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56"/>
      <c r="M186" s="55"/>
      <c r="N186" s="55"/>
      <c r="O186" s="56"/>
      <c r="P186" s="56"/>
      <c r="Q186" s="56"/>
      <c r="R186" s="56"/>
      <c r="S186" s="56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56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56"/>
      <c r="M187" s="55"/>
      <c r="N187" s="56"/>
      <c r="O187" s="56"/>
      <c r="P187" s="56"/>
      <c r="Q187" s="56"/>
      <c r="R187" s="56"/>
      <c r="S187" s="56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56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56"/>
      <c r="M188" s="55"/>
      <c r="N188" s="55"/>
      <c r="O188" s="56"/>
      <c r="P188" s="56"/>
      <c r="Q188" s="56"/>
      <c r="R188" s="56"/>
      <c r="S188" s="56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56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56"/>
      <c r="M189" s="55"/>
      <c r="N189" s="55"/>
      <c r="O189" s="56"/>
      <c r="P189" s="56"/>
      <c r="Q189" s="56"/>
      <c r="R189" s="56"/>
      <c r="S189" s="56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56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56"/>
      <c r="M190" s="55"/>
      <c r="N190" s="55"/>
      <c r="O190" s="56"/>
      <c r="P190" s="56"/>
      <c r="Q190" s="56"/>
      <c r="R190" s="56"/>
      <c r="S190" s="56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56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56"/>
      <c r="M191" s="55"/>
      <c r="N191" s="55"/>
      <c r="O191" s="56"/>
      <c r="P191" s="56"/>
      <c r="Q191" s="56"/>
      <c r="R191" s="56"/>
      <c r="S191" s="56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56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56"/>
      <c r="M192" s="55"/>
      <c r="N192" s="55"/>
      <c r="O192" s="56"/>
      <c r="P192" s="56"/>
      <c r="Q192" s="56"/>
      <c r="R192" s="56"/>
      <c r="S192" s="56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56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56"/>
      <c r="M193" s="55"/>
      <c r="N193" s="55"/>
      <c r="O193" s="56"/>
      <c r="P193" s="56"/>
      <c r="Q193" s="56"/>
      <c r="R193" s="56"/>
      <c r="S193" s="56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56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56"/>
      <c r="M194" s="55"/>
      <c r="N194" s="55"/>
      <c r="O194" s="56"/>
      <c r="P194" s="56"/>
      <c r="Q194" s="56"/>
      <c r="R194" s="56"/>
      <c r="S194" s="56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56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56"/>
      <c r="M195" s="55"/>
      <c r="N195" s="55"/>
      <c r="O195" s="56"/>
      <c r="P195" s="56"/>
      <c r="Q195" s="56"/>
      <c r="R195" s="56"/>
      <c r="S195" s="56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56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56"/>
      <c r="M196" s="55"/>
      <c r="N196" s="55"/>
      <c r="O196" s="56"/>
      <c r="P196" s="56"/>
      <c r="Q196" s="56"/>
      <c r="R196" s="56"/>
      <c r="S196" s="56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56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56"/>
      <c r="M197" s="55"/>
      <c r="N197" s="55"/>
      <c r="O197" s="56"/>
      <c r="P197" s="56"/>
      <c r="Q197" s="56"/>
      <c r="R197" s="56"/>
      <c r="S197" s="56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56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56"/>
      <c r="M198" s="55"/>
      <c r="N198" s="55"/>
      <c r="O198" s="56"/>
      <c r="P198" s="56"/>
      <c r="Q198" s="56"/>
      <c r="R198" s="56"/>
      <c r="S198" s="56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56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56"/>
      <c r="M199" s="56"/>
      <c r="N199" s="56"/>
      <c r="O199" s="56"/>
      <c r="P199" s="56"/>
      <c r="Q199" s="56"/>
      <c r="R199" s="56"/>
      <c r="S199" s="56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56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56"/>
      <c r="M200" s="55"/>
      <c r="N200" s="55"/>
      <c r="O200" s="56"/>
      <c r="P200" s="56"/>
      <c r="Q200" s="56"/>
      <c r="R200" s="56"/>
      <c r="S200" s="56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56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56"/>
      <c r="M201" s="55"/>
      <c r="N201" s="55"/>
      <c r="O201" s="56"/>
      <c r="P201" s="56"/>
      <c r="Q201" s="56"/>
      <c r="R201" s="56"/>
      <c r="S201" s="56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56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56"/>
      <c r="M202" s="55"/>
      <c r="N202" s="55"/>
      <c r="O202" s="56"/>
      <c r="P202" s="56"/>
      <c r="Q202" s="56"/>
      <c r="R202" s="56"/>
      <c r="S202" s="56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56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56"/>
      <c r="M203" s="55"/>
      <c r="N203" s="55"/>
      <c r="O203" s="56"/>
      <c r="P203" s="56"/>
      <c r="Q203" s="56"/>
      <c r="R203" s="56"/>
      <c r="S203" s="56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56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56"/>
      <c r="M204" s="55"/>
      <c r="N204" s="55"/>
      <c r="O204" s="56"/>
      <c r="P204" s="56"/>
      <c r="Q204" s="56"/>
      <c r="R204" s="56"/>
      <c r="S204" s="56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56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56"/>
      <c r="M205" s="55"/>
      <c r="N205" s="55"/>
      <c r="O205" s="56"/>
      <c r="P205" s="56"/>
      <c r="Q205" s="56"/>
      <c r="R205" s="56"/>
      <c r="S205" s="56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56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56"/>
      <c r="M206" s="55"/>
      <c r="N206" s="55"/>
      <c r="O206" s="56"/>
      <c r="P206" s="56"/>
      <c r="Q206" s="56"/>
      <c r="R206" s="56"/>
      <c r="S206" s="56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56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56"/>
      <c r="M207" s="55"/>
      <c r="N207" s="55"/>
      <c r="O207" s="56"/>
      <c r="P207" s="56"/>
      <c r="Q207" s="56"/>
      <c r="R207" s="56"/>
      <c r="S207" s="56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56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56"/>
      <c r="M208" s="55"/>
      <c r="N208" s="55"/>
      <c r="O208" s="56"/>
      <c r="P208" s="56"/>
      <c r="Q208" s="56"/>
      <c r="R208" s="56"/>
      <c r="S208" s="56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56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56"/>
      <c r="M209" s="55"/>
      <c r="N209" s="55"/>
      <c r="O209" s="56"/>
      <c r="P209" s="56"/>
      <c r="Q209" s="56"/>
      <c r="R209" s="56"/>
      <c r="S209" s="56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56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56"/>
      <c r="M210" s="55"/>
      <c r="N210" s="55"/>
      <c r="O210" s="56"/>
      <c r="P210" s="56"/>
      <c r="Q210" s="56"/>
      <c r="R210" s="56"/>
      <c r="S210" s="56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56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56"/>
      <c r="M211" s="55"/>
      <c r="N211" s="55"/>
      <c r="O211" s="56"/>
      <c r="P211" s="56"/>
      <c r="Q211" s="56"/>
      <c r="R211" s="56"/>
      <c r="S211" s="56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56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56"/>
      <c r="M212" s="55"/>
      <c r="N212" s="55"/>
      <c r="O212" s="56"/>
      <c r="P212" s="56"/>
      <c r="Q212" s="56"/>
      <c r="R212" s="56"/>
      <c r="S212" s="56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56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56"/>
      <c r="M213" s="55"/>
      <c r="N213" s="55"/>
      <c r="O213" s="56"/>
      <c r="P213" s="56"/>
      <c r="Q213" s="56"/>
      <c r="R213" s="56"/>
      <c r="S213" s="56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56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56"/>
      <c r="M214" s="55"/>
      <c r="N214" s="55"/>
      <c r="O214" s="56"/>
      <c r="P214" s="56"/>
      <c r="Q214" s="56"/>
      <c r="R214" s="56"/>
      <c r="S214" s="56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56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56"/>
      <c r="M215" s="55"/>
      <c r="N215" s="55"/>
      <c r="O215" s="56"/>
      <c r="P215" s="56"/>
      <c r="Q215" s="56"/>
      <c r="R215" s="56"/>
      <c r="S215" s="56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56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56"/>
      <c r="M216" s="56"/>
      <c r="N216" s="56"/>
      <c r="O216" s="56"/>
      <c r="P216" s="56"/>
      <c r="Q216" s="56"/>
      <c r="R216" s="56"/>
      <c r="S216" s="56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56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56"/>
      <c r="M217" s="55"/>
      <c r="N217" s="55"/>
      <c r="O217" s="56"/>
      <c r="P217" s="56"/>
      <c r="Q217" s="56"/>
      <c r="R217" s="56"/>
      <c r="S217" s="56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56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56"/>
      <c r="M218" s="55"/>
      <c r="N218" s="55"/>
      <c r="O218" s="56"/>
      <c r="P218" s="56"/>
      <c r="Q218" s="56"/>
      <c r="R218" s="56"/>
      <c r="S218" s="56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56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56"/>
      <c r="M219" s="55"/>
      <c r="N219" s="55"/>
      <c r="O219" s="56"/>
      <c r="P219" s="56"/>
      <c r="Q219" s="56"/>
      <c r="R219" s="56"/>
      <c r="S219" s="56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56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56"/>
      <c r="M220" s="55"/>
      <c r="N220" s="55"/>
      <c r="O220" s="56"/>
      <c r="P220" s="56"/>
      <c r="Q220" s="56"/>
      <c r="R220" s="56"/>
      <c r="S220" s="56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56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56"/>
      <c r="M221" s="55"/>
      <c r="N221" s="55"/>
      <c r="O221" s="56"/>
      <c r="P221" s="56"/>
      <c r="Q221" s="56"/>
      <c r="R221" s="56"/>
      <c r="S221" s="56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56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56"/>
      <c r="M222" s="55"/>
      <c r="N222" s="55"/>
      <c r="O222" s="56"/>
      <c r="P222" s="56"/>
      <c r="Q222" s="56"/>
      <c r="R222" s="56"/>
      <c r="S222" s="56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56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56"/>
      <c r="M223" s="55"/>
      <c r="N223" s="55"/>
      <c r="O223" s="56"/>
      <c r="P223" s="56"/>
      <c r="Q223" s="56"/>
      <c r="R223" s="56"/>
      <c r="S223" s="56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56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56"/>
      <c r="M224" s="55"/>
      <c r="N224" s="55"/>
      <c r="O224" s="56"/>
      <c r="P224" s="56"/>
      <c r="Q224" s="56"/>
      <c r="R224" s="56"/>
      <c r="S224" s="56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56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56"/>
      <c r="M225" s="55"/>
      <c r="N225" s="55"/>
      <c r="O225" s="56"/>
      <c r="P225" s="56"/>
      <c r="Q225" s="56"/>
      <c r="R225" s="56"/>
      <c r="S225" s="56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56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56"/>
      <c r="M226" s="55"/>
      <c r="N226" s="55"/>
      <c r="O226" s="56"/>
      <c r="P226" s="56"/>
      <c r="Q226" s="56"/>
      <c r="R226" s="56"/>
      <c r="S226" s="56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56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56"/>
      <c r="M227" s="55"/>
      <c r="N227" s="55"/>
      <c r="O227" s="56"/>
      <c r="P227" s="56"/>
      <c r="Q227" s="56"/>
      <c r="R227" s="56"/>
      <c r="S227" s="56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56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56"/>
      <c r="M228" s="55"/>
      <c r="N228" s="55"/>
      <c r="O228" s="56"/>
      <c r="P228" s="56"/>
      <c r="Q228" s="56"/>
      <c r="R228" s="56"/>
      <c r="S228" s="56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56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56"/>
      <c r="M229" s="55"/>
      <c r="N229" s="55"/>
      <c r="O229" s="56"/>
      <c r="P229" s="56"/>
      <c r="Q229" s="56"/>
      <c r="R229" s="56"/>
      <c r="S229" s="56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56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56"/>
      <c r="M230" s="55"/>
      <c r="N230" s="55"/>
      <c r="O230" s="56"/>
      <c r="P230" s="56"/>
      <c r="Q230" s="56"/>
      <c r="R230" s="56"/>
      <c r="S230" s="56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56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56"/>
      <c r="M231" s="55"/>
      <c r="N231" s="55"/>
      <c r="O231" s="56"/>
      <c r="P231" s="56"/>
      <c r="Q231" s="56"/>
      <c r="R231" s="56"/>
      <c r="S231" s="56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56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56"/>
      <c r="M232" s="55"/>
      <c r="N232" s="55"/>
      <c r="O232" s="56"/>
      <c r="P232" s="56"/>
      <c r="Q232" s="56"/>
      <c r="R232" s="56"/>
      <c r="S232" s="56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56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56"/>
      <c r="M233" s="55"/>
      <c r="N233" s="55"/>
      <c r="O233" s="56"/>
      <c r="P233" s="56"/>
      <c r="Q233" s="56"/>
      <c r="R233" s="56"/>
      <c r="S233" s="56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56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56"/>
      <c r="M234" s="55"/>
      <c r="N234" s="55"/>
      <c r="O234" s="56"/>
      <c r="P234" s="56"/>
      <c r="Q234" s="56"/>
      <c r="R234" s="56"/>
      <c r="S234" s="56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56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56"/>
      <c r="M235" s="55"/>
      <c r="N235" s="55"/>
      <c r="O235" s="56"/>
      <c r="P235" s="56"/>
      <c r="Q235" s="56"/>
      <c r="R235" s="56"/>
      <c r="S235" s="56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56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56"/>
      <c r="M236" s="55"/>
      <c r="N236" s="55"/>
      <c r="O236" s="56"/>
      <c r="P236" s="56"/>
      <c r="Q236" s="56"/>
      <c r="R236" s="56"/>
      <c r="S236" s="56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56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56"/>
      <c r="M237" s="55"/>
      <c r="N237" s="55"/>
      <c r="O237" s="56"/>
      <c r="P237" s="56"/>
      <c r="Q237" s="56"/>
      <c r="R237" s="56"/>
      <c r="S237" s="56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56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56"/>
      <c r="M238" s="55"/>
      <c r="N238" s="55"/>
      <c r="O238" s="56"/>
      <c r="P238" s="56"/>
      <c r="Q238" s="56"/>
      <c r="R238" s="56"/>
      <c r="S238" s="56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56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56"/>
      <c r="M239" s="55"/>
      <c r="N239" s="55"/>
      <c r="O239" s="56"/>
      <c r="P239" s="56"/>
      <c r="Q239" s="56"/>
      <c r="R239" s="56"/>
      <c r="S239" s="56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56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56"/>
      <c r="M240" s="55"/>
      <c r="N240" s="55"/>
      <c r="O240" s="56"/>
      <c r="P240" s="56"/>
      <c r="Q240" s="56"/>
      <c r="R240" s="56"/>
      <c r="S240" s="56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56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56"/>
      <c r="M241" s="55"/>
      <c r="N241" s="55"/>
      <c r="O241" s="56"/>
      <c r="P241" s="56"/>
      <c r="Q241" s="56"/>
      <c r="R241" s="56"/>
      <c r="S241" s="56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56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56"/>
      <c r="M242" s="55"/>
      <c r="N242" s="55"/>
      <c r="O242" s="56"/>
      <c r="P242" s="56"/>
      <c r="Q242" s="56"/>
      <c r="R242" s="56"/>
      <c r="S242" s="56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56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56"/>
      <c r="M243" s="55"/>
      <c r="N243" s="55"/>
      <c r="O243" s="56"/>
      <c r="P243" s="56"/>
      <c r="Q243" s="56"/>
      <c r="R243" s="56"/>
      <c r="S243" s="56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56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56"/>
      <c r="M244" s="55"/>
      <c r="N244" s="55"/>
      <c r="O244" s="56"/>
      <c r="P244" s="56"/>
      <c r="Q244" s="56"/>
      <c r="R244" s="56"/>
      <c r="S244" s="56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56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56"/>
      <c r="M245" s="55"/>
      <c r="N245" s="55"/>
      <c r="O245" s="56"/>
      <c r="P245" s="56"/>
      <c r="Q245" s="56"/>
      <c r="R245" s="56"/>
      <c r="S245" s="56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56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56"/>
      <c r="M246" s="55"/>
      <c r="N246" s="55"/>
      <c r="O246" s="56"/>
      <c r="P246" s="56"/>
      <c r="Q246" s="56"/>
      <c r="R246" s="56"/>
      <c r="S246" s="56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56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56"/>
      <c r="M247" s="55"/>
      <c r="N247" s="55"/>
      <c r="O247" s="56"/>
      <c r="P247" s="56"/>
      <c r="Q247" s="56"/>
      <c r="R247" s="56"/>
      <c r="S247" s="56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56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56"/>
      <c r="M248" s="55"/>
      <c r="N248" s="55"/>
      <c r="O248" s="56"/>
      <c r="P248" s="56"/>
      <c r="Q248" s="56"/>
      <c r="R248" s="56"/>
      <c r="S248" s="56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56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56"/>
      <c r="M249" s="55"/>
      <c r="N249" s="55"/>
      <c r="O249" s="56"/>
      <c r="P249" s="56"/>
      <c r="Q249" s="56"/>
      <c r="R249" s="56"/>
      <c r="S249" s="56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56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56"/>
      <c r="M250" s="55"/>
      <c r="N250" s="55"/>
      <c r="O250" s="56"/>
      <c r="P250" s="56"/>
      <c r="Q250" s="56"/>
      <c r="R250" s="56"/>
      <c r="S250" s="56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56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56"/>
      <c r="M251" s="55"/>
      <c r="N251" s="55"/>
      <c r="O251" s="56"/>
      <c r="P251" s="56"/>
      <c r="Q251" s="56"/>
      <c r="R251" s="56"/>
      <c r="S251" s="56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56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56"/>
      <c r="M252" s="55"/>
      <c r="N252" s="55"/>
      <c r="O252" s="56"/>
      <c r="P252" s="56"/>
      <c r="Q252" s="56"/>
      <c r="R252" s="56"/>
      <c r="S252" s="56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56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56"/>
      <c r="M253" s="55"/>
      <c r="N253" s="55"/>
      <c r="O253" s="56"/>
      <c r="P253" s="56"/>
      <c r="Q253" s="56"/>
      <c r="R253" s="56"/>
      <c r="S253" s="56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56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56"/>
      <c r="M254" s="55"/>
      <c r="N254" s="55"/>
      <c r="O254" s="56"/>
      <c r="P254" s="56"/>
      <c r="Q254" s="56"/>
      <c r="R254" s="56"/>
      <c r="S254" s="56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56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56"/>
      <c r="M255" s="55"/>
      <c r="N255" s="55"/>
      <c r="O255" s="56"/>
      <c r="P255" s="56"/>
      <c r="Q255" s="56"/>
      <c r="R255" s="56"/>
      <c r="S255" s="56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56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56"/>
      <c r="M256" s="55"/>
      <c r="N256" s="55"/>
      <c r="O256" s="56"/>
      <c r="P256" s="56"/>
      <c r="Q256" s="56"/>
      <c r="R256" s="56"/>
      <c r="S256" s="56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56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56"/>
      <c r="M257" s="56"/>
      <c r="N257" s="56"/>
      <c r="O257" s="56"/>
      <c r="P257" s="56"/>
      <c r="Q257" s="56"/>
      <c r="R257" s="56"/>
      <c r="S257" s="56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56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56"/>
      <c r="M258" s="55"/>
      <c r="N258" s="55"/>
      <c r="O258" s="56"/>
      <c r="P258" s="56"/>
      <c r="Q258" s="56"/>
      <c r="R258" s="56"/>
      <c r="S258" s="56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56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56"/>
      <c r="M259" s="55"/>
      <c r="N259" s="55"/>
      <c r="O259" s="56"/>
      <c r="P259" s="56"/>
      <c r="Q259" s="56"/>
      <c r="R259" s="56"/>
      <c r="S259" s="56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56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56"/>
      <c r="M260" s="55"/>
      <c r="N260" s="55"/>
      <c r="O260" s="56"/>
      <c r="P260" s="56"/>
      <c r="Q260" s="56"/>
      <c r="R260" s="56"/>
      <c r="S260" s="56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56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56"/>
      <c r="M261" s="55"/>
      <c r="N261" s="55"/>
      <c r="O261" s="56"/>
      <c r="P261" s="56"/>
      <c r="Q261" s="56"/>
      <c r="R261" s="56"/>
      <c r="S261" s="56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56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56"/>
      <c r="M262" s="55"/>
      <c r="N262" s="55"/>
      <c r="O262" s="56"/>
      <c r="P262" s="56"/>
      <c r="Q262" s="56"/>
      <c r="R262" s="56"/>
      <c r="S262" s="56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56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56"/>
      <c r="M263" s="55"/>
      <c r="N263" s="55"/>
      <c r="O263" s="56"/>
      <c r="P263" s="56"/>
      <c r="Q263" s="56"/>
      <c r="R263" s="56"/>
      <c r="S263" s="56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56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56"/>
      <c r="M264" s="55"/>
      <c r="N264" s="55"/>
      <c r="O264" s="56"/>
      <c r="P264" s="56"/>
      <c r="Q264" s="56"/>
      <c r="R264" s="56"/>
      <c r="S264" s="56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56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56"/>
      <c r="M265" s="55"/>
      <c r="N265" s="55"/>
      <c r="O265" s="56"/>
      <c r="P265" s="56"/>
      <c r="Q265" s="56"/>
      <c r="R265" s="56"/>
      <c r="S265" s="56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56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56"/>
      <c r="M266" s="55"/>
      <c r="N266" s="55"/>
      <c r="O266" s="56"/>
      <c r="P266" s="56"/>
      <c r="Q266" s="56"/>
      <c r="R266" s="56"/>
      <c r="S266" s="56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56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56"/>
      <c r="M267" s="55"/>
      <c r="N267" s="55"/>
      <c r="O267" s="56"/>
      <c r="P267" s="56"/>
      <c r="Q267" s="56"/>
      <c r="R267" s="56"/>
      <c r="S267" s="56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56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56"/>
      <c r="M268" s="55"/>
      <c r="N268" s="55"/>
      <c r="O268" s="56"/>
      <c r="P268" s="56"/>
      <c r="Q268" s="56"/>
      <c r="R268" s="56"/>
      <c r="S268" s="56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56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56"/>
      <c r="M269" s="55"/>
      <c r="N269" s="55"/>
      <c r="O269" s="56"/>
      <c r="P269" s="56"/>
      <c r="Q269" s="56"/>
      <c r="R269" s="56"/>
      <c r="S269" s="56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56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56"/>
      <c r="M270" s="55"/>
      <c r="N270" s="55"/>
      <c r="O270" s="56"/>
      <c r="P270" s="56"/>
      <c r="Q270" s="56"/>
      <c r="R270" s="56"/>
      <c r="S270" s="56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56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56"/>
      <c r="M271" s="55"/>
      <c r="N271" s="55"/>
      <c r="O271" s="56"/>
      <c r="P271" s="56"/>
      <c r="Q271" s="56"/>
      <c r="R271" s="56"/>
      <c r="S271" s="56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56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56"/>
      <c r="M272" s="55"/>
      <c r="N272" s="55"/>
      <c r="O272" s="56"/>
      <c r="P272" s="56"/>
      <c r="Q272" s="56"/>
      <c r="R272" s="56"/>
      <c r="S272" s="56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56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56"/>
      <c r="M273" s="55"/>
      <c r="N273" s="55"/>
      <c r="O273" s="56"/>
      <c r="P273" s="56"/>
      <c r="Q273" s="56"/>
      <c r="R273" s="56"/>
      <c r="S273" s="56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56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56"/>
      <c r="M274" s="55"/>
      <c r="N274" s="56"/>
      <c r="O274" s="56"/>
      <c r="P274" s="56"/>
      <c r="Q274" s="56"/>
      <c r="R274" s="56"/>
      <c r="S274" s="56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56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56"/>
      <c r="M275" s="55"/>
      <c r="N275" s="55"/>
      <c r="O275" s="56"/>
      <c r="P275" s="56"/>
      <c r="Q275" s="56"/>
      <c r="R275" s="56"/>
      <c r="S275" s="56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56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56"/>
      <c r="M276" s="55"/>
      <c r="N276" s="55"/>
      <c r="O276" s="56"/>
      <c r="P276" s="56"/>
      <c r="Q276" s="56"/>
      <c r="R276" s="56"/>
      <c r="S276" s="56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56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56"/>
      <c r="M277" s="55"/>
      <c r="N277" s="55"/>
      <c r="O277" s="56"/>
      <c r="P277" s="56"/>
      <c r="Q277" s="56"/>
      <c r="R277" s="56"/>
      <c r="S277" s="56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56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56"/>
      <c r="M278" s="55"/>
      <c r="N278" s="55"/>
      <c r="O278" s="56"/>
      <c r="P278" s="56"/>
      <c r="Q278" s="56"/>
      <c r="R278" s="56"/>
      <c r="S278" s="56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56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65"/>
      <c r="BA278" s="65"/>
      <c r="BB278" s="65"/>
      <c r="BC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56"/>
      <c r="M279" s="55"/>
      <c r="N279" s="56"/>
      <c r="O279" s="56"/>
      <c r="P279" s="56"/>
      <c r="Q279" s="56"/>
      <c r="R279" s="56"/>
      <c r="S279" s="56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56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56"/>
      <c r="M280" s="55"/>
      <c r="N280" s="55"/>
      <c r="O280" s="56"/>
      <c r="P280" s="56"/>
      <c r="Q280" s="56"/>
      <c r="R280" s="56"/>
      <c r="S280" s="56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56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56"/>
      <c r="M281" s="55"/>
      <c r="N281" s="56"/>
      <c r="O281" s="56"/>
      <c r="P281" s="56"/>
      <c r="Q281" s="56"/>
      <c r="R281" s="56"/>
      <c r="S281" s="56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56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56"/>
      <c r="M282" s="55"/>
      <c r="N282" s="55"/>
      <c r="O282" s="56"/>
      <c r="P282" s="56"/>
      <c r="Q282" s="56"/>
      <c r="R282" s="56"/>
      <c r="S282" s="56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56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56"/>
      <c r="M283" s="55"/>
      <c r="N283" s="55"/>
      <c r="O283" s="56"/>
      <c r="P283" s="56"/>
      <c r="Q283" s="56"/>
      <c r="R283" s="56"/>
      <c r="S283" s="56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56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56"/>
      <c r="M284" s="55"/>
      <c r="N284" s="55"/>
      <c r="O284" s="56"/>
      <c r="P284" s="56"/>
      <c r="Q284" s="56"/>
      <c r="R284" s="56"/>
      <c r="S284" s="56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56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56"/>
      <c r="M285" s="55"/>
      <c r="N285" s="55"/>
      <c r="O285" s="56"/>
      <c r="P285" s="56"/>
      <c r="Q285" s="56"/>
      <c r="R285" s="56"/>
      <c r="S285" s="56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56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56"/>
      <c r="M286" s="56"/>
      <c r="N286" s="56"/>
      <c r="O286" s="56"/>
      <c r="P286" s="56"/>
      <c r="Q286" s="56"/>
      <c r="R286" s="56"/>
      <c r="S286" s="56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56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56"/>
      <c r="M287" s="55"/>
      <c r="N287" s="55"/>
      <c r="O287" s="56"/>
      <c r="P287" s="56"/>
      <c r="Q287" s="56"/>
      <c r="R287" s="56"/>
      <c r="S287" s="56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56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56"/>
      <c r="M288" s="55"/>
      <c r="N288" s="55"/>
      <c r="O288" s="56"/>
      <c r="P288" s="56"/>
      <c r="Q288" s="56"/>
      <c r="R288" s="56"/>
      <c r="S288" s="56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56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56"/>
      <c r="M289" s="55"/>
      <c r="N289" s="56"/>
      <c r="O289" s="56"/>
      <c r="P289" s="56"/>
      <c r="Q289" s="56"/>
      <c r="R289" s="56"/>
      <c r="S289" s="56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56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56"/>
      <c r="M290" s="55"/>
      <c r="N290" s="55"/>
      <c r="O290" s="56"/>
      <c r="P290" s="56"/>
      <c r="Q290" s="56"/>
      <c r="R290" s="56"/>
      <c r="S290" s="56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56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56"/>
      <c r="M291" s="55"/>
      <c r="N291" s="55"/>
      <c r="O291" s="56"/>
      <c r="P291" s="56"/>
      <c r="Q291" s="56"/>
      <c r="R291" s="56"/>
      <c r="S291" s="56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56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56"/>
      <c r="M292" s="55"/>
      <c r="N292" s="55"/>
      <c r="O292" s="56"/>
      <c r="P292" s="56"/>
      <c r="Q292" s="56"/>
      <c r="R292" s="56"/>
      <c r="S292" s="56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56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56"/>
      <c r="M293" s="55"/>
      <c r="N293" s="55"/>
      <c r="O293" s="56"/>
      <c r="P293" s="56"/>
      <c r="Q293" s="56"/>
      <c r="R293" s="56"/>
      <c r="S293" s="56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56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56"/>
      <c r="M294" s="55"/>
      <c r="N294" s="55"/>
      <c r="O294" s="56"/>
      <c r="P294" s="56"/>
      <c r="Q294" s="56"/>
      <c r="R294" s="56"/>
      <c r="S294" s="56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56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56"/>
      <c r="M295" s="55"/>
      <c r="N295" s="55"/>
      <c r="O295" s="56"/>
      <c r="P295" s="56"/>
      <c r="Q295" s="56"/>
      <c r="R295" s="56"/>
      <c r="S295" s="56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56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56"/>
      <c r="M296" s="55"/>
      <c r="N296" s="55"/>
      <c r="O296" s="56"/>
      <c r="P296" s="56"/>
      <c r="Q296" s="56"/>
      <c r="R296" s="56"/>
      <c r="S296" s="56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56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56"/>
      <c r="M297" s="55"/>
      <c r="N297" s="55"/>
      <c r="O297" s="56"/>
      <c r="P297" s="56"/>
      <c r="Q297" s="56"/>
      <c r="R297" s="56"/>
      <c r="S297" s="56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56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56"/>
      <c r="M298" s="55"/>
      <c r="N298" s="55"/>
      <c r="O298" s="56"/>
      <c r="P298" s="56"/>
      <c r="Q298" s="56"/>
      <c r="R298" s="56"/>
      <c r="S298" s="56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56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56"/>
      <c r="M299" s="55"/>
      <c r="N299" s="55"/>
      <c r="O299" s="56"/>
      <c r="P299" s="56"/>
      <c r="Q299" s="56"/>
      <c r="R299" s="56"/>
      <c r="S299" s="56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56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56"/>
      <c r="M300" s="55"/>
      <c r="N300" s="55"/>
      <c r="O300" s="56"/>
      <c r="P300" s="56"/>
      <c r="Q300" s="56"/>
      <c r="R300" s="56"/>
      <c r="S300" s="56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56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56"/>
      <c r="M301" s="55"/>
      <c r="N301" s="55"/>
      <c r="O301" s="56"/>
      <c r="P301" s="56"/>
      <c r="Q301" s="56"/>
      <c r="R301" s="56"/>
      <c r="S301" s="56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56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56"/>
      <c r="M302" s="55"/>
      <c r="N302" s="55"/>
      <c r="O302" s="56"/>
      <c r="P302" s="56"/>
      <c r="Q302" s="56"/>
      <c r="R302" s="56"/>
      <c r="S302" s="56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56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56"/>
      <c r="M303" s="55"/>
      <c r="N303" s="56"/>
      <c r="O303" s="56"/>
      <c r="P303" s="56"/>
      <c r="Q303" s="56"/>
      <c r="R303" s="56"/>
      <c r="S303" s="56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56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56"/>
      <c r="M304" s="55"/>
      <c r="N304" s="55"/>
      <c r="O304" s="56"/>
      <c r="P304" s="56"/>
      <c r="Q304" s="56"/>
      <c r="R304" s="56"/>
      <c r="S304" s="56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56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56"/>
      <c r="M305" s="55"/>
      <c r="N305" s="55"/>
      <c r="O305" s="56"/>
      <c r="P305" s="56"/>
      <c r="Q305" s="56"/>
      <c r="R305" s="56"/>
      <c r="S305" s="56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56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56"/>
      <c r="M306" s="55"/>
      <c r="N306" s="55"/>
      <c r="O306" s="56"/>
      <c r="P306" s="56"/>
      <c r="Q306" s="56"/>
      <c r="R306" s="56"/>
      <c r="S306" s="56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56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56"/>
      <c r="M307" s="55"/>
      <c r="N307" s="55"/>
      <c r="O307" s="56"/>
      <c r="P307" s="56"/>
      <c r="Q307" s="56"/>
      <c r="R307" s="56"/>
      <c r="S307" s="56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56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56"/>
      <c r="M308" s="55"/>
      <c r="N308" s="55"/>
      <c r="O308" s="56"/>
      <c r="P308" s="56"/>
      <c r="Q308" s="56"/>
      <c r="R308" s="56"/>
      <c r="S308" s="56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56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56"/>
      <c r="M309" s="55"/>
      <c r="N309" s="55"/>
      <c r="O309" s="56"/>
      <c r="P309" s="56"/>
      <c r="Q309" s="56"/>
      <c r="R309" s="56"/>
      <c r="S309" s="56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56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56"/>
      <c r="M310" s="55"/>
      <c r="N310" s="55"/>
      <c r="O310" s="56"/>
      <c r="P310" s="56"/>
      <c r="Q310" s="56"/>
      <c r="R310" s="56"/>
      <c r="S310" s="56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56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56"/>
      <c r="M311" s="55"/>
      <c r="N311" s="56"/>
      <c r="O311" s="56"/>
      <c r="P311" s="56"/>
      <c r="Q311" s="56"/>
      <c r="R311" s="56"/>
      <c r="S311" s="56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56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56"/>
      <c r="M312" s="55"/>
      <c r="N312" s="55"/>
      <c r="O312" s="56"/>
      <c r="P312" s="56"/>
      <c r="Q312" s="56"/>
      <c r="R312" s="56"/>
      <c r="S312" s="56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56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56"/>
      <c r="M313" s="55"/>
      <c r="N313" s="55"/>
      <c r="O313" s="56"/>
      <c r="P313" s="56"/>
      <c r="Q313" s="56"/>
      <c r="R313" s="56"/>
      <c r="S313" s="56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56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56"/>
      <c r="M314" s="55"/>
      <c r="N314" s="56"/>
      <c r="O314" s="56"/>
      <c r="P314" s="56"/>
      <c r="Q314" s="56"/>
      <c r="R314" s="56"/>
      <c r="S314" s="56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56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56"/>
      <c r="M315" s="55"/>
      <c r="N315" s="55"/>
      <c r="O315" s="56"/>
      <c r="P315" s="56"/>
      <c r="Q315" s="56"/>
      <c r="R315" s="56"/>
      <c r="S315" s="56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56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56"/>
      <c r="M316" s="55"/>
      <c r="N316" s="55"/>
      <c r="O316" s="56"/>
      <c r="P316" s="56"/>
      <c r="Q316" s="56"/>
      <c r="R316" s="56"/>
      <c r="S316" s="56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56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56"/>
      <c r="M317" s="55"/>
      <c r="N317" s="55"/>
      <c r="O317" s="56"/>
      <c r="P317" s="56"/>
      <c r="Q317" s="56"/>
      <c r="R317" s="56"/>
      <c r="S317" s="56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56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56"/>
      <c r="M318" s="55"/>
      <c r="N318" s="55"/>
      <c r="O318" s="56"/>
      <c r="P318" s="56"/>
      <c r="Q318" s="56"/>
      <c r="R318" s="56"/>
      <c r="S318" s="56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56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56"/>
      <c r="M319" s="55"/>
      <c r="N319" s="55"/>
      <c r="O319" s="56"/>
      <c r="P319" s="56"/>
      <c r="Q319" s="56"/>
      <c r="R319" s="56"/>
      <c r="S319" s="56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56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56"/>
      <c r="M320" s="55"/>
      <c r="N320" s="55"/>
      <c r="O320" s="56"/>
      <c r="P320" s="56"/>
      <c r="Q320" s="56"/>
      <c r="R320" s="56"/>
      <c r="S320" s="56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56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56"/>
      <c r="M321" s="55"/>
      <c r="N321" s="55"/>
      <c r="O321" s="56"/>
      <c r="P321" s="56"/>
      <c r="Q321" s="56"/>
      <c r="R321" s="56"/>
      <c r="S321" s="56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56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56"/>
      <c r="M322" s="55"/>
      <c r="N322" s="55"/>
      <c r="O322" s="56"/>
      <c r="P322" s="56"/>
      <c r="Q322" s="56"/>
      <c r="R322" s="56"/>
      <c r="S322" s="56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56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56"/>
      <c r="M323" s="55"/>
      <c r="N323" s="55"/>
      <c r="O323" s="56"/>
      <c r="P323" s="56"/>
      <c r="Q323" s="56"/>
      <c r="R323" s="56"/>
      <c r="S323" s="56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56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56"/>
      <c r="M324" s="55"/>
      <c r="N324" s="55"/>
      <c r="O324" s="56"/>
      <c r="P324" s="56"/>
      <c r="Q324" s="56"/>
      <c r="R324" s="56"/>
      <c r="S324" s="56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56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56"/>
      <c r="M325" s="55"/>
      <c r="N325" s="55"/>
      <c r="O325" s="56"/>
      <c r="P325" s="56"/>
      <c r="Q325" s="56"/>
      <c r="R325" s="56"/>
      <c r="S325" s="56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56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56"/>
      <c r="M326" s="55"/>
      <c r="N326" s="55"/>
      <c r="O326" s="56"/>
      <c r="P326" s="56"/>
      <c r="Q326" s="56"/>
      <c r="R326" s="56"/>
      <c r="S326" s="56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56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56"/>
      <c r="M327" s="55"/>
      <c r="N327" s="55"/>
      <c r="O327" s="56"/>
      <c r="P327" s="56"/>
      <c r="Q327" s="56"/>
      <c r="R327" s="56"/>
      <c r="S327" s="56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56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56"/>
      <c r="M328" s="55"/>
      <c r="N328" s="55"/>
      <c r="O328" s="56"/>
      <c r="P328" s="56"/>
      <c r="Q328" s="56"/>
      <c r="R328" s="56"/>
      <c r="S328" s="56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56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56"/>
      <c r="M329" s="55"/>
      <c r="N329" s="55"/>
      <c r="O329" s="56"/>
      <c r="P329" s="56"/>
      <c r="Q329" s="56"/>
      <c r="R329" s="56"/>
      <c r="S329" s="56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56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56"/>
      <c r="M330" s="55"/>
      <c r="N330" s="55"/>
      <c r="O330" s="56"/>
      <c r="P330" s="56"/>
      <c r="Q330" s="56"/>
      <c r="R330" s="56"/>
      <c r="S330" s="56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56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56"/>
      <c r="M331" s="55"/>
      <c r="N331" s="55"/>
      <c r="O331" s="56"/>
      <c r="P331" s="56"/>
      <c r="Q331" s="56"/>
      <c r="R331" s="56"/>
      <c r="S331" s="56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56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56"/>
      <c r="M332" s="55"/>
      <c r="N332" s="55"/>
      <c r="O332" s="56"/>
      <c r="P332" s="56"/>
      <c r="Q332" s="56"/>
      <c r="R332" s="56"/>
      <c r="S332" s="56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56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56"/>
      <c r="M333" s="55"/>
      <c r="N333" s="55"/>
      <c r="O333" s="56"/>
      <c r="P333" s="56"/>
      <c r="Q333" s="56"/>
      <c r="R333" s="56"/>
      <c r="S333" s="56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56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56"/>
      <c r="M334" s="55"/>
      <c r="N334" s="55"/>
      <c r="O334" s="56"/>
      <c r="P334" s="56"/>
      <c r="Q334" s="56"/>
      <c r="R334" s="56"/>
      <c r="S334" s="56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56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56"/>
      <c r="M335" s="55"/>
      <c r="N335" s="55"/>
      <c r="O335" s="56"/>
      <c r="P335" s="56"/>
      <c r="Q335" s="56"/>
      <c r="R335" s="56"/>
      <c r="S335" s="56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56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56"/>
      <c r="M336" s="55"/>
      <c r="N336" s="55"/>
      <c r="O336" s="56"/>
      <c r="P336" s="56"/>
      <c r="Q336" s="56"/>
      <c r="R336" s="56"/>
      <c r="S336" s="56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56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56"/>
      <c r="M337" s="55"/>
      <c r="N337" s="55"/>
      <c r="O337" s="56"/>
      <c r="P337" s="56"/>
      <c r="Q337" s="56"/>
      <c r="R337" s="56"/>
      <c r="S337" s="56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56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56"/>
      <c r="M338" s="55"/>
      <c r="N338" s="55"/>
      <c r="O338" s="56"/>
      <c r="P338" s="56"/>
      <c r="Q338" s="56"/>
      <c r="R338" s="56"/>
      <c r="S338" s="56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56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56"/>
      <c r="M339" s="55"/>
      <c r="N339" s="55"/>
      <c r="O339" s="56"/>
      <c r="P339" s="56"/>
      <c r="Q339" s="56"/>
      <c r="R339" s="56"/>
      <c r="S339" s="56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56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56"/>
      <c r="M340" s="55"/>
      <c r="N340" s="55"/>
      <c r="O340" s="56"/>
      <c r="P340" s="56"/>
      <c r="Q340" s="56"/>
      <c r="R340" s="56"/>
      <c r="S340" s="56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56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56"/>
      <c r="M341" s="55"/>
      <c r="N341" s="55"/>
      <c r="O341" s="56"/>
      <c r="P341" s="56"/>
      <c r="Q341" s="56"/>
      <c r="R341" s="56"/>
      <c r="S341" s="56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56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56"/>
      <c r="M342" s="55"/>
      <c r="N342" s="55"/>
      <c r="O342" s="56"/>
      <c r="P342" s="56"/>
      <c r="Q342" s="56"/>
      <c r="R342" s="56"/>
      <c r="S342" s="56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56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56"/>
      <c r="M343" s="55"/>
      <c r="N343" s="55"/>
      <c r="O343" s="56"/>
      <c r="P343" s="56"/>
      <c r="Q343" s="56"/>
      <c r="R343" s="56"/>
      <c r="S343" s="56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56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56"/>
      <c r="M344" s="55"/>
      <c r="N344" s="55"/>
      <c r="O344" s="56"/>
      <c r="P344" s="56"/>
      <c r="Q344" s="56"/>
      <c r="R344" s="56"/>
      <c r="S344" s="56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56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56"/>
      <c r="M345" s="55"/>
      <c r="N345" s="55"/>
      <c r="O345" s="56"/>
      <c r="P345" s="56"/>
      <c r="Q345" s="56"/>
      <c r="R345" s="56"/>
      <c r="S345" s="56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56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56"/>
      <c r="M346" s="55"/>
      <c r="N346" s="55"/>
      <c r="O346" s="56"/>
      <c r="P346" s="56"/>
      <c r="Q346" s="56"/>
      <c r="R346" s="56"/>
      <c r="S346" s="56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56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56"/>
      <c r="M347" s="55"/>
      <c r="N347" s="55"/>
      <c r="O347" s="56"/>
      <c r="P347" s="56"/>
      <c r="Q347" s="56"/>
      <c r="R347" s="56"/>
      <c r="S347" s="56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56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56"/>
      <c r="M348" s="55"/>
      <c r="N348" s="55"/>
      <c r="O348" s="56"/>
      <c r="P348" s="56"/>
      <c r="Q348" s="56"/>
      <c r="R348" s="56"/>
      <c r="S348" s="56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56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56"/>
      <c r="M349" s="55"/>
      <c r="N349" s="56"/>
      <c r="O349" s="56"/>
      <c r="P349" s="56"/>
      <c r="Q349" s="56"/>
      <c r="R349" s="56"/>
      <c r="S349" s="56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56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56"/>
      <c r="M350" s="55"/>
      <c r="N350" s="56"/>
      <c r="O350" s="56"/>
      <c r="P350" s="56"/>
      <c r="Q350" s="56"/>
      <c r="R350" s="56"/>
      <c r="S350" s="56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56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56"/>
      <c r="M351" s="55"/>
      <c r="N351" s="56"/>
      <c r="O351" s="56"/>
      <c r="P351" s="56"/>
      <c r="Q351" s="56"/>
      <c r="R351" s="56"/>
      <c r="S351" s="56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56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56"/>
      <c r="M352" s="55"/>
      <c r="N352" s="56"/>
      <c r="O352" s="56"/>
      <c r="P352" s="56"/>
      <c r="Q352" s="56"/>
      <c r="R352" s="56"/>
      <c r="S352" s="56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56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56"/>
      <c r="M353" s="55"/>
      <c r="N353" s="56"/>
      <c r="O353" s="56"/>
      <c r="P353" s="56"/>
      <c r="Q353" s="56"/>
      <c r="R353" s="56"/>
      <c r="S353" s="56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56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56"/>
      <c r="M354" s="55"/>
      <c r="N354" s="55"/>
      <c r="O354" s="56"/>
      <c r="P354" s="56"/>
      <c r="Q354" s="56"/>
      <c r="R354" s="56"/>
      <c r="S354" s="56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56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56"/>
      <c r="M355" s="55"/>
      <c r="N355" s="56"/>
      <c r="O355" s="56"/>
      <c r="P355" s="56"/>
      <c r="Q355" s="56"/>
      <c r="R355" s="56"/>
      <c r="S355" s="56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56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56"/>
      <c r="M356" s="55"/>
      <c r="N356" s="55"/>
      <c r="O356" s="56"/>
      <c r="P356" s="56"/>
      <c r="Q356" s="56"/>
      <c r="R356" s="56"/>
      <c r="S356" s="56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56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56"/>
      <c r="M357" s="55"/>
      <c r="N357" s="55"/>
      <c r="O357" s="56"/>
      <c r="P357" s="56"/>
      <c r="Q357" s="56"/>
      <c r="R357" s="56"/>
      <c r="S357" s="56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56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56"/>
      <c r="M358" s="55"/>
      <c r="N358" s="55"/>
      <c r="O358" s="56"/>
      <c r="P358" s="56"/>
      <c r="Q358" s="56"/>
      <c r="R358" s="56"/>
      <c r="S358" s="56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56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56"/>
      <c r="M359" s="55"/>
      <c r="N359" s="55"/>
      <c r="O359" s="56"/>
      <c r="P359" s="56"/>
      <c r="Q359" s="56"/>
      <c r="R359" s="56"/>
      <c r="S359" s="56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56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56"/>
      <c r="M360" s="55"/>
      <c r="N360" s="55"/>
      <c r="O360" s="56"/>
      <c r="P360" s="56"/>
      <c r="Q360" s="56"/>
      <c r="R360" s="56"/>
      <c r="S360" s="56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56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56"/>
      <c r="M361" s="55"/>
      <c r="N361" s="55"/>
      <c r="O361" s="56"/>
      <c r="P361" s="56"/>
      <c r="Q361" s="56"/>
      <c r="R361" s="56"/>
      <c r="S361" s="56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56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56"/>
      <c r="M362" s="55"/>
      <c r="N362" s="55"/>
      <c r="O362" s="56"/>
      <c r="P362" s="56"/>
      <c r="Q362" s="56"/>
      <c r="R362" s="56"/>
      <c r="S362" s="56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56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56"/>
      <c r="M363" s="55"/>
      <c r="N363" s="55"/>
      <c r="O363" s="56"/>
      <c r="P363" s="56"/>
      <c r="Q363" s="56"/>
      <c r="R363" s="56"/>
      <c r="S363" s="56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56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56"/>
      <c r="M364" s="55"/>
      <c r="N364" s="55"/>
      <c r="O364" s="56"/>
      <c r="P364" s="56"/>
      <c r="Q364" s="56"/>
      <c r="R364" s="56"/>
      <c r="S364" s="56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56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56"/>
      <c r="M365" s="55"/>
      <c r="N365" s="55"/>
      <c r="O365" s="56"/>
      <c r="P365" s="56"/>
      <c r="Q365" s="56"/>
      <c r="R365" s="56"/>
      <c r="S365" s="56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56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56"/>
      <c r="M366" s="55"/>
      <c r="N366" s="55"/>
      <c r="O366" s="56"/>
      <c r="P366" s="56"/>
      <c r="Q366" s="56"/>
      <c r="R366" s="56"/>
      <c r="S366" s="56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56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  <c r="AW366" s="65"/>
      <c r="AX366" s="65"/>
      <c r="AY366" s="65"/>
      <c r="AZ366" s="65"/>
      <c r="BA366" s="65"/>
      <c r="BB366" s="65"/>
      <c r="BC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56"/>
      <c r="M367" s="55"/>
      <c r="N367" s="55"/>
      <c r="O367" s="56"/>
      <c r="P367" s="56"/>
      <c r="Q367" s="56"/>
      <c r="R367" s="56"/>
      <c r="S367" s="56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56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56"/>
      <c r="M368" s="55"/>
      <c r="N368" s="55"/>
      <c r="O368" s="56"/>
      <c r="P368" s="56"/>
      <c r="Q368" s="56"/>
      <c r="R368" s="56"/>
      <c r="S368" s="56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56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  <c r="AW368" s="65"/>
      <c r="AX368" s="65"/>
      <c r="AY368" s="65"/>
      <c r="AZ368" s="65"/>
      <c r="BA368" s="65"/>
      <c r="BB368" s="65"/>
      <c r="BC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56"/>
      <c r="M369" s="55"/>
      <c r="N369" s="55"/>
      <c r="O369" s="56"/>
      <c r="P369" s="56"/>
      <c r="Q369" s="56"/>
      <c r="R369" s="56"/>
      <c r="S369" s="56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56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56"/>
      <c r="M370" s="55"/>
      <c r="N370" s="55"/>
      <c r="O370" s="56"/>
      <c r="P370" s="56"/>
      <c r="Q370" s="56"/>
      <c r="R370" s="56"/>
      <c r="S370" s="56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56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56"/>
      <c r="M371" s="55"/>
      <c r="N371" s="55"/>
      <c r="O371" s="56"/>
      <c r="P371" s="56"/>
      <c r="Q371" s="56"/>
      <c r="R371" s="56"/>
      <c r="S371" s="56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56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56"/>
      <c r="M372" s="55"/>
      <c r="N372" s="55"/>
      <c r="O372" s="56"/>
      <c r="P372" s="56"/>
      <c r="Q372" s="56"/>
      <c r="R372" s="56"/>
      <c r="S372" s="56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56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  <c r="AW372" s="65"/>
      <c r="AX372" s="65"/>
      <c r="AY372" s="65"/>
      <c r="AZ372" s="65"/>
      <c r="BA372" s="65"/>
      <c r="BB372" s="65"/>
      <c r="BC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56"/>
      <c r="M373" s="55"/>
      <c r="N373" s="55"/>
      <c r="O373" s="56"/>
      <c r="P373" s="56"/>
      <c r="Q373" s="56"/>
      <c r="R373" s="56"/>
      <c r="S373" s="56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56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56"/>
      <c r="M374" s="55"/>
      <c r="N374" s="55"/>
      <c r="O374" s="56"/>
      <c r="P374" s="56"/>
      <c r="Q374" s="56"/>
      <c r="R374" s="56"/>
      <c r="S374" s="56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56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56"/>
      <c r="M375" s="55"/>
      <c r="N375" s="55"/>
      <c r="O375" s="56"/>
      <c r="P375" s="56"/>
      <c r="Q375" s="56"/>
      <c r="R375" s="56"/>
      <c r="S375" s="56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56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56"/>
      <c r="M376" s="55"/>
      <c r="N376" s="55"/>
      <c r="O376" s="56"/>
      <c r="P376" s="56"/>
      <c r="Q376" s="56"/>
      <c r="R376" s="56"/>
      <c r="S376" s="56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56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56"/>
      <c r="M377" s="55"/>
      <c r="N377" s="55"/>
      <c r="O377" s="56"/>
      <c r="P377" s="56"/>
      <c r="Q377" s="56"/>
      <c r="R377" s="56"/>
      <c r="S377" s="56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56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56"/>
      <c r="M378" s="55"/>
      <c r="N378" s="55"/>
      <c r="O378" s="56"/>
      <c r="P378" s="56"/>
      <c r="Q378" s="56"/>
      <c r="R378" s="56"/>
      <c r="S378" s="56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56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56"/>
      <c r="M379" s="55"/>
      <c r="N379" s="55"/>
      <c r="O379" s="56"/>
      <c r="P379" s="56"/>
      <c r="Q379" s="56"/>
      <c r="R379" s="56"/>
      <c r="S379" s="56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56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56"/>
      <c r="M380" s="55"/>
      <c r="N380" s="55"/>
      <c r="O380" s="56"/>
      <c r="P380" s="56"/>
      <c r="Q380" s="56"/>
      <c r="R380" s="56"/>
      <c r="S380" s="56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56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56"/>
      <c r="M381" s="56"/>
      <c r="N381" s="56"/>
      <c r="O381" s="56"/>
      <c r="P381" s="56"/>
      <c r="Q381" s="56"/>
      <c r="R381" s="56"/>
      <c r="S381" s="56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56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56"/>
      <c r="M382" s="56"/>
      <c r="N382" s="56"/>
      <c r="O382" s="56"/>
      <c r="P382" s="56"/>
      <c r="Q382" s="56"/>
      <c r="R382" s="56"/>
      <c r="S382" s="56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56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56"/>
      <c r="M383" s="56"/>
      <c r="N383" s="56"/>
      <c r="O383" s="56"/>
      <c r="P383" s="56"/>
      <c r="Q383" s="56"/>
      <c r="R383" s="56"/>
      <c r="S383" s="56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56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56"/>
      <c r="M384" s="56"/>
      <c r="N384" s="56"/>
      <c r="O384" s="56"/>
      <c r="P384" s="56"/>
      <c r="Q384" s="56"/>
      <c r="R384" s="56"/>
      <c r="S384" s="56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56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56"/>
      <c r="M385" s="56"/>
      <c r="N385" s="56"/>
      <c r="O385" s="56"/>
      <c r="P385" s="56"/>
      <c r="Q385" s="56"/>
      <c r="R385" s="56"/>
      <c r="S385" s="56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56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56"/>
      <c r="M386" s="56"/>
      <c r="N386" s="56"/>
      <c r="O386" s="56"/>
      <c r="P386" s="56"/>
      <c r="Q386" s="56"/>
      <c r="R386" s="56"/>
      <c r="S386" s="56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56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56"/>
      <c r="M387" s="56"/>
      <c r="N387" s="56"/>
      <c r="O387" s="56"/>
      <c r="P387" s="56"/>
      <c r="Q387" s="56"/>
      <c r="R387" s="56"/>
      <c r="S387" s="56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56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56"/>
      <c r="M388" s="56"/>
      <c r="N388" s="56"/>
      <c r="O388" s="56"/>
      <c r="P388" s="56"/>
      <c r="Q388" s="56"/>
      <c r="R388" s="56"/>
      <c r="S388" s="56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56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56"/>
      <c r="M389" s="56"/>
      <c r="N389" s="56"/>
      <c r="O389" s="56"/>
      <c r="P389" s="56"/>
      <c r="Q389" s="56"/>
      <c r="R389" s="56"/>
      <c r="S389" s="56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56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56"/>
      <c r="M390" s="56"/>
      <c r="N390" s="56"/>
      <c r="O390" s="56"/>
      <c r="P390" s="56"/>
      <c r="Q390" s="56"/>
      <c r="R390" s="56"/>
      <c r="S390" s="56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56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56"/>
      <c r="M391" s="56"/>
      <c r="N391" s="56"/>
      <c r="O391" s="56"/>
      <c r="P391" s="56"/>
      <c r="Q391" s="56"/>
      <c r="R391" s="56"/>
      <c r="S391" s="56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56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56"/>
      <c r="M392" s="56"/>
      <c r="N392" s="56"/>
      <c r="O392" s="56"/>
      <c r="P392" s="56"/>
      <c r="Q392" s="56"/>
      <c r="R392" s="56"/>
      <c r="S392" s="56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56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56"/>
      <c r="M393" s="56"/>
      <c r="N393" s="56"/>
      <c r="O393" s="56"/>
      <c r="P393" s="56"/>
      <c r="Q393" s="56"/>
      <c r="R393" s="56"/>
      <c r="S393" s="56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56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56"/>
      <c r="M394" s="56"/>
      <c r="N394" s="56"/>
      <c r="O394" s="56"/>
      <c r="P394" s="56"/>
      <c r="Q394" s="56"/>
      <c r="R394" s="56"/>
      <c r="S394" s="56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56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56"/>
      <c r="M395" s="56"/>
      <c r="N395" s="56"/>
      <c r="O395" s="56"/>
      <c r="P395" s="56"/>
      <c r="Q395" s="56"/>
      <c r="R395" s="56"/>
      <c r="S395" s="56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56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56"/>
      <c r="M396" s="56"/>
      <c r="N396" s="56"/>
      <c r="O396" s="56"/>
      <c r="P396" s="56"/>
      <c r="Q396" s="56"/>
      <c r="R396" s="56"/>
      <c r="S396" s="56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56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56"/>
      <c r="M397" s="56"/>
      <c r="N397" s="56"/>
      <c r="O397" s="56"/>
      <c r="P397" s="56"/>
      <c r="Q397" s="56"/>
      <c r="R397" s="56"/>
      <c r="S397" s="56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56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56"/>
      <c r="M398" s="56"/>
      <c r="N398" s="56"/>
      <c r="O398" s="56"/>
      <c r="P398" s="56"/>
      <c r="Q398" s="56"/>
      <c r="R398" s="56"/>
      <c r="S398" s="56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56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56"/>
      <c r="M399" s="56"/>
      <c r="N399" s="56"/>
      <c r="O399" s="56"/>
      <c r="P399" s="56"/>
      <c r="Q399" s="56"/>
      <c r="R399" s="56"/>
      <c r="S399" s="56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56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56"/>
      <c r="M400" s="56"/>
      <c r="N400" s="56"/>
      <c r="O400" s="56"/>
      <c r="P400" s="56"/>
      <c r="Q400" s="56"/>
      <c r="R400" s="56"/>
      <c r="S400" s="56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56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56"/>
      <c r="M401" s="56"/>
      <c r="N401" s="56"/>
      <c r="O401" s="56"/>
      <c r="P401" s="56"/>
      <c r="Q401" s="56"/>
      <c r="R401" s="56"/>
      <c r="S401" s="56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56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56"/>
      <c r="M402" s="56"/>
      <c r="N402" s="56"/>
      <c r="O402" s="56"/>
      <c r="P402" s="56"/>
      <c r="Q402" s="56"/>
      <c r="R402" s="56"/>
      <c r="S402" s="56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56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56"/>
      <c r="M403" s="56"/>
      <c r="N403" s="56"/>
      <c r="O403" s="56"/>
      <c r="P403" s="56"/>
      <c r="Q403" s="56"/>
      <c r="R403" s="56"/>
      <c r="S403" s="56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56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56"/>
      <c r="M404" s="56"/>
      <c r="N404" s="56"/>
      <c r="O404" s="56"/>
      <c r="P404" s="56"/>
      <c r="Q404" s="56"/>
      <c r="R404" s="56"/>
      <c r="S404" s="56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56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56"/>
      <c r="M405" s="56"/>
      <c r="N405" s="56"/>
      <c r="O405" s="56"/>
      <c r="P405" s="56"/>
      <c r="Q405" s="56"/>
      <c r="R405" s="56"/>
      <c r="S405" s="56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56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56"/>
      <c r="M406" s="56"/>
      <c r="N406" s="56"/>
      <c r="O406" s="56"/>
      <c r="P406" s="56"/>
      <c r="Q406" s="56"/>
      <c r="R406" s="56"/>
      <c r="S406" s="56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56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56"/>
      <c r="M407" s="56"/>
      <c r="N407" s="56"/>
      <c r="O407" s="56"/>
      <c r="P407" s="56"/>
      <c r="Q407" s="56"/>
      <c r="R407" s="56"/>
      <c r="S407" s="56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56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56"/>
      <c r="M408" s="56"/>
      <c r="N408" s="56"/>
      <c r="O408" s="56"/>
      <c r="P408" s="56"/>
      <c r="Q408" s="56"/>
      <c r="R408" s="56"/>
      <c r="S408" s="56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56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56"/>
      <c r="M409" s="56"/>
      <c r="N409" s="56"/>
      <c r="O409" s="56"/>
      <c r="P409" s="56"/>
      <c r="Q409" s="56"/>
      <c r="R409" s="56"/>
      <c r="S409" s="56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56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56"/>
      <c r="M410" s="56"/>
      <c r="N410" s="56"/>
      <c r="O410" s="56"/>
      <c r="P410" s="56"/>
      <c r="Q410" s="56"/>
      <c r="R410" s="56"/>
      <c r="S410" s="56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56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56"/>
      <c r="M411" s="56"/>
      <c r="N411" s="56"/>
      <c r="O411" s="56"/>
      <c r="P411" s="56"/>
      <c r="Q411" s="56"/>
      <c r="R411" s="56"/>
      <c r="S411" s="56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56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56"/>
      <c r="M412" s="56"/>
      <c r="N412" s="56"/>
      <c r="O412" s="56"/>
      <c r="P412" s="56"/>
      <c r="Q412" s="56"/>
      <c r="R412" s="56"/>
      <c r="S412" s="56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56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56"/>
      <c r="M413" s="56"/>
      <c r="N413" s="56"/>
      <c r="O413" s="56"/>
      <c r="P413" s="56"/>
      <c r="Q413" s="56"/>
      <c r="R413" s="56"/>
      <c r="S413" s="56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56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56"/>
      <c r="M414" s="56"/>
      <c r="N414" s="56"/>
      <c r="O414" s="56"/>
      <c r="P414" s="56"/>
      <c r="Q414" s="56"/>
      <c r="R414" s="56"/>
      <c r="S414" s="56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56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56"/>
      <c r="M415" s="56"/>
      <c r="N415" s="56"/>
      <c r="O415" s="56"/>
      <c r="P415" s="56"/>
      <c r="Q415" s="56"/>
      <c r="R415" s="56"/>
      <c r="S415" s="56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56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56"/>
      <c r="M416" s="56"/>
      <c r="N416" s="56"/>
      <c r="O416" s="56"/>
      <c r="P416" s="56"/>
      <c r="Q416" s="56"/>
      <c r="R416" s="56"/>
      <c r="S416" s="56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56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56"/>
      <c r="M417" s="56"/>
      <c r="N417" s="56"/>
      <c r="O417" s="56"/>
      <c r="P417" s="56"/>
      <c r="Q417" s="56"/>
      <c r="R417" s="56"/>
      <c r="S417" s="56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56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56"/>
      <c r="M418" s="56"/>
      <c r="N418" s="56"/>
      <c r="O418" s="56"/>
      <c r="P418" s="56"/>
      <c r="Q418" s="56"/>
      <c r="R418" s="56"/>
      <c r="S418" s="56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56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56"/>
      <c r="M419" s="56"/>
      <c r="N419" s="56"/>
      <c r="O419" s="56"/>
      <c r="P419" s="56"/>
      <c r="Q419" s="56"/>
      <c r="R419" s="56"/>
      <c r="S419" s="56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56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56"/>
      <c r="M420" s="56"/>
      <c r="N420" s="56"/>
      <c r="O420" s="56"/>
      <c r="P420" s="56"/>
      <c r="Q420" s="56"/>
      <c r="R420" s="56"/>
      <c r="S420" s="56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56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56"/>
      <c r="M421" s="56"/>
      <c r="N421" s="56"/>
      <c r="O421" s="56"/>
      <c r="P421" s="56"/>
      <c r="Q421" s="56"/>
      <c r="R421" s="56"/>
      <c r="S421" s="56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56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56"/>
      <c r="M422" s="56"/>
      <c r="N422" s="56"/>
      <c r="O422" s="56"/>
      <c r="P422" s="56"/>
      <c r="Q422" s="56"/>
      <c r="R422" s="56"/>
      <c r="S422" s="56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56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56"/>
      <c r="M423" s="56"/>
      <c r="N423" s="56"/>
      <c r="O423" s="56"/>
      <c r="P423" s="56"/>
      <c r="Q423" s="56"/>
      <c r="R423" s="56"/>
      <c r="S423" s="56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56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56"/>
      <c r="M424" s="56"/>
      <c r="N424" s="56"/>
      <c r="O424" s="56"/>
      <c r="P424" s="56"/>
      <c r="Q424" s="56"/>
      <c r="R424" s="56"/>
      <c r="S424" s="56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56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56"/>
      <c r="M425" s="56"/>
      <c r="N425" s="56"/>
      <c r="O425" s="56"/>
      <c r="P425" s="56"/>
      <c r="Q425" s="56"/>
      <c r="R425" s="56"/>
      <c r="S425" s="56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56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56"/>
      <c r="M426" s="56"/>
      <c r="N426" s="56"/>
      <c r="O426" s="56"/>
      <c r="P426" s="56"/>
      <c r="Q426" s="56"/>
      <c r="R426" s="56"/>
      <c r="S426" s="56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56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56"/>
      <c r="M427" s="56"/>
      <c r="N427" s="56"/>
      <c r="O427" s="56"/>
      <c r="P427" s="56"/>
      <c r="Q427" s="56"/>
      <c r="R427" s="56"/>
      <c r="S427" s="56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56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56"/>
      <c r="M428" s="56"/>
      <c r="N428" s="56"/>
      <c r="O428" s="56"/>
      <c r="P428" s="56"/>
      <c r="Q428" s="56"/>
      <c r="R428" s="56"/>
      <c r="S428" s="56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56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56"/>
      <c r="M429" s="56"/>
      <c r="N429" s="56"/>
      <c r="O429" s="56"/>
      <c r="P429" s="56"/>
      <c r="Q429" s="56"/>
      <c r="R429" s="56"/>
      <c r="S429" s="56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56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  <c r="AV429" s="65"/>
      <c r="AW429" s="65"/>
      <c r="AX429" s="65"/>
      <c r="AY429" s="65"/>
      <c r="AZ429" s="65"/>
      <c r="BA429" s="65"/>
      <c r="BB429" s="65"/>
      <c r="BC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56"/>
      <c r="M430" s="56"/>
      <c r="N430" s="56"/>
      <c r="O430" s="56"/>
      <c r="P430" s="56"/>
      <c r="Q430" s="56"/>
      <c r="R430" s="56"/>
      <c r="S430" s="56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56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  <c r="AV430" s="65"/>
      <c r="AW430" s="65"/>
      <c r="AX430" s="65"/>
      <c r="AY430" s="65"/>
      <c r="AZ430" s="65"/>
      <c r="BA430" s="65"/>
      <c r="BB430" s="65"/>
      <c r="BC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56"/>
      <c r="M431" s="56"/>
      <c r="N431" s="56"/>
      <c r="O431" s="56"/>
      <c r="P431" s="56"/>
      <c r="Q431" s="56"/>
      <c r="R431" s="56"/>
      <c r="S431" s="56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56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  <c r="AV431" s="65"/>
      <c r="AW431" s="65"/>
      <c r="AX431" s="65"/>
      <c r="AY431" s="65"/>
      <c r="AZ431" s="65"/>
      <c r="BA431" s="65"/>
      <c r="BB431" s="65"/>
      <c r="BC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56"/>
      <c r="M432" s="56"/>
      <c r="N432" s="56"/>
      <c r="O432" s="56"/>
      <c r="P432" s="56"/>
      <c r="Q432" s="56"/>
      <c r="R432" s="56"/>
      <c r="S432" s="56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56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  <c r="AV432" s="65"/>
      <c r="AW432" s="65"/>
      <c r="AX432" s="65"/>
      <c r="AY432" s="65"/>
      <c r="AZ432" s="65"/>
      <c r="BA432" s="65"/>
      <c r="BB432" s="65"/>
      <c r="BC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56"/>
      <c r="M433" s="56"/>
      <c r="N433" s="56"/>
      <c r="O433" s="56"/>
      <c r="P433" s="56"/>
      <c r="Q433" s="56"/>
      <c r="R433" s="56"/>
      <c r="S433" s="56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56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  <c r="AV433" s="65"/>
      <c r="AW433" s="65"/>
      <c r="AX433" s="65"/>
      <c r="AY433" s="65"/>
      <c r="AZ433" s="65"/>
      <c r="BA433" s="65"/>
      <c r="BB433" s="65"/>
      <c r="BC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56"/>
      <c r="M434" s="56"/>
      <c r="N434" s="56"/>
      <c r="O434" s="56"/>
      <c r="P434" s="56"/>
      <c r="Q434" s="56"/>
      <c r="R434" s="56"/>
      <c r="S434" s="56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56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  <c r="AV434" s="65"/>
      <c r="AW434" s="65"/>
      <c r="AX434" s="65"/>
      <c r="AY434" s="65"/>
      <c r="AZ434" s="65"/>
      <c r="BA434" s="65"/>
      <c r="BB434" s="65"/>
      <c r="BC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56"/>
      <c r="M435" s="56"/>
      <c r="N435" s="56"/>
      <c r="O435" s="56"/>
      <c r="P435" s="56"/>
      <c r="Q435" s="56"/>
      <c r="R435" s="56"/>
      <c r="S435" s="56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56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  <c r="AV435" s="65"/>
      <c r="AW435" s="65"/>
      <c r="AX435" s="65"/>
      <c r="AY435" s="65"/>
      <c r="AZ435" s="65"/>
      <c r="BA435" s="65"/>
      <c r="BB435" s="65"/>
      <c r="BC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56"/>
      <c r="M436" s="56"/>
      <c r="N436" s="56"/>
      <c r="O436" s="56"/>
      <c r="P436" s="56"/>
      <c r="Q436" s="56"/>
      <c r="R436" s="56"/>
      <c r="S436" s="56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56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  <c r="AV436" s="65"/>
      <c r="AW436" s="65"/>
      <c r="AX436" s="65"/>
      <c r="AY436" s="65"/>
      <c r="AZ436" s="65"/>
      <c r="BA436" s="65"/>
      <c r="BB436" s="65"/>
      <c r="BC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56"/>
      <c r="M437" s="56"/>
      <c r="N437" s="56"/>
      <c r="O437" s="56"/>
      <c r="P437" s="56"/>
      <c r="Q437" s="56"/>
      <c r="R437" s="56"/>
      <c r="S437" s="56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56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  <c r="AV437" s="65"/>
      <c r="AW437" s="65"/>
      <c r="AX437" s="65"/>
      <c r="AY437" s="65"/>
      <c r="AZ437" s="65"/>
      <c r="BA437" s="65"/>
      <c r="BB437" s="65"/>
      <c r="BC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56"/>
      <c r="M438" s="56"/>
      <c r="N438" s="56"/>
      <c r="O438" s="56"/>
      <c r="P438" s="56"/>
      <c r="Q438" s="56"/>
      <c r="R438" s="56"/>
      <c r="S438" s="56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56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56"/>
      <c r="M439" s="56"/>
      <c r="N439" s="56"/>
      <c r="O439" s="56"/>
      <c r="P439" s="56"/>
      <c r="Q439" s="56"/>
      <c r="R439" s="56"/>
      <c r="S439" s="56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56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56"/>
      <c r="M440" s="56"/>
      <c r="N440" s="56"/>
      <c r="O440" s="56"/>
      <c r="P440" s="56"/>
      <c r="Q440" s="56"/>
      <c r="R440" s="56"/>
      <c r="S440" s="56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56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  <c r="AV440" s="65"/>
      <c r="AW440" s="65"/>
      <c r="AX440" s="65"/>
      <c r="AY440" s="65"/>
      <c r="AZ440" s="65"/>
      <c r="BA440" s="65"/>
      <c r="BB440" s="65"/>
      <c r="BC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56"/>
      <c r="M441" s="56"/>
      <c r="N441" s="56"/>
      <c r="O441" s="56"/>
      <c r="P441" s="56"/>
      <c r="Q441" s="56"/>
      <c r="R441" s="56"/>
      <c r="S441" s="56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56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  <c r="AV441" s="65"/>
      <c r="AW441" s="65"/>
      <c r="AX441" s="65"/>
      <c r="AY441" s="65"/>
      <c r="AZ441" s="65"/>
      <c r="BA441" s="65"/>
      <c r="BB441" s="65"/>
      <c r="BC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56"/>
      <c r="M442" s="56"/>
      <c r="N442" s="56"/>
      <c r="O442" s="56"/>
      <c r="P442" s="56"/>
      <c r="Q442" s="56"/>
      <c r="R442" s="56"/>
      <c r="S442" s="56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56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56"/>
      <c r="M443" s="56"/>
      <c r="N443" s="56"/>
      <c r="O443" s="56"/>
      <c r="P443" s="56"/>
      <c r="Q443" s="56"/>
      <c r="R443" s="56"/>
      <c r="S443" s="56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56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  <c r="AV443" s="65"/>
      <c r="AW443" s="65"/>
      <c r="AX443" s="65"/>
      <c r="AY443" s="65"/>
      <c r="AZ443" s="65"/>
      <c r="BA443" s="65"/>
      <c r="BB443" s="65"/>
      <c r="BC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56"/>
      <c r="M444" s="56"/>
      <c r="N444" s="56"/>
      <c r="O444" s="56"/>
      <c r="P444" s="56"/>
      <c r="Q444" s="56"/>
      <c r="R444" s="56"/>
      <c r="S444" s="56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56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  <c r="AW444" s="65"/>
      <c r="AX444" s="65"/>
      <c r="AY444" s="65"/>
      <c r="AZ444" s="65"/>
      <c r="BA444" s="65"/>
      <c r="BB444" s="65"/>
      <c r="BC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56"/>
      <c r="M445" s="56"/>
      <c r="N445" s="56"/>
      <c r="O445" s="56"/>
      <c r="P445" s="56"/>
      <c r="Q445" s="56"/>
      <c r="R445" s="56"/>
      <c r="S445" s="56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56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56"/>
      <c r="M446" s="56"/>
      <c r="N446" s="56"/>
      <c r="O446" s="56"/>
      <c r="P446" s="56"/>
      <c r="Q446" s="56"/>
      <c r="R446" s="56"/>
      <c r="S446" s="56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56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56"/>
      <c r="M447" s="56"/>
      <c r="N447" s="56"/>
      <c r="O447" s="56"/>
      <c r="P447" s="56"/>
      <c r="Q447" s="56"/>
      <c r="R447" s="56"/>
      <c r="S447" s="56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56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56"/>
      <c r="M448" s="56"/>
      <c r="N448" s="56"/>
      <c r="O448" s="56"/>
      <c r="P448" s="56"/>
      <c r="Q448" s="56"/>
      <c r="R448" s="56"/>
      <c r="S448" s="56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56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56"/>
      <c r="M449" s="56"/>
      <c r="N449" s="56"/>
      <c r="O449" s="56"/>
      <c r="P449" s="56"/>
      <c r="Q449" s="56"/>
      <c r="R449" s="56"/>
      <c r="S449" s="56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56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56"/>
      <c r="M450" s="56"/>
      <c r="N450" s="56"/>
      <c r="O450" s="56"/>
      <c r="P450" s="56"/>
      <c r="Q450" s="56"/>
      <c r="R450" s="56"/>
      <c r="S450" s="56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56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56"/>
      <c r="M451" s="56"/>
      <c r="N451" s="56"/>
      <c r="O451" s="56"/>
      <c r="P451" s="56"/>
      <c r="Q451" s="56"/>
      <c r="R451" s="56"/>
      <c r="S451" s="56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56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56"/>
      <c r="M452" s="56"/>
      <c r="N452" s="56"/>
      <c r="O452" s="56"/>
      <c r="P452" s="56"/>
      <c r="Q452" s="56"/>
      <c r="R452" s="56"/>
      <c r="S452" s="56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56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  <c r="AW452" s="65"/>
      <c r="AX452" s="65"/>
      <c r="AY452" s="65"/>
      <c r="AZ452" s="65"/>
      <c r="BA452" s="65"/>
      <c r="BB452" s="65"/>
      <c r="BC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56"/>
      <c r="M453" s="56"/>
      <c r="N453" s="56"/>
      <c r="O453" s="56"/>
      <c r="P453" s="56"/>
      <c r="Q453" s="56"/>
      <c r="R453" s="56"/>
      <c r="S453" s="56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56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  <c r="AW453" s="65"/>
      <c r="AX453" s="65"/>
      <c r="AY453" s="65"/>
      <c r="AZ453" s="65"/>
      <c r="BA453" s="65"/>
      <c r="BB453" s="65"/>
      <c r="BC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56"/>
      <c r="M454" s="56"/>
      <c r="N454" s="56"/>
      <c r="O454" s="56"/>
      <c r="P454" s="56"/>
      <c r="Q454" s="56"/>
      <c r="R454" s="56"/>
      <c r="S454" s="56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56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  <c r="AV454" s="65"/>
      <c r="AW454" s="65"/>
      <c r="AX454" s="65"/>
      <c r="AY454" s="65"/>
      <c r="AZ454" s="65"/>
      <c r="BA454" s="65"/>
      <c r="BB454" s="65"/>
      <c r="BC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56"/>
      <c r="M455" s="56"/>
      <c r="N455" s="56"/>
      <c r="O455" s="56"/>
      <c r="P455" s="56"/>
      <c r="Q455" s="56"/>
      <c r="R455" s="56"/>
      <c r="S455" s="56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56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56"/>
      <c r="M456" s="56"/>
      <c r="N456" s="56"/>
      <c r="O456" s="56"/>
      <c r="P456" s="56"/>
      <c r="Q456" s="56"/>
      <c r="R456" s="56"/>
      <c r="S456" s="56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56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  <c r="AV456" s="65"/>
      <c r="AW456" s="65"/>
      <c r="AX456" s="65"/>
      <c r="AY456" s="65"/>
      <c r="AZ456" s="65"/>
      <c r="BA456" s="65"/>
      <c r="BB456" s="65"/>
      <c r="BC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56"/>
      <c r="M457" s="56"/>
      <c r="N457" s="56"/>
      <c r="O457" s="56"/>
      <c r="P457" s="56"/>
      <c r="Q457" s="56"/>
      <c r="R457" s="56"/>
      <c r="S457" s="56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56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  <c r="AV457" s="65"/>
      <c r="AW457" s="65"/>
      <c r="AX457" s="65"/>
      <c r="AY457" s="65"/>
      <c r="AZ457" s="65"/>
      <c r="BA457" s="65"/>
      <c r="BB457" s="65"/>
      <c r="BC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56"/>
      <c r="M458" s="56"/>
      <c r="N458" s="56"/>
      <c r="O458" s="56"/>
      <c r="P458" s="56"/>
      <c r="Q458" s="56"/>
      <c r="R458" s="56"/>
      <c r="S458" s="56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56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  <c r="AW458" s="65"/>
      <c r="AX458" s="65"/>
      <c r="AY458" s="65"/>
      <c r="AZ458" s="65"/>
      <c r="BA458" s="65"/>
      <c r="BB458" s="65"/>
      <c r="BC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56"/>
      <c r="M459" s="56"/>
      <c r="N459" s="56"/>
      <c r="O459" s="56"/>
      <c r="P459" s="56"/>
      <c r="Q459" s="56"/>
      <c r="R459" s="56"/>
      <c r="S459" s="56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56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  <c r="AW459" s="65"/>
      <c r="AX459" s="65"/>
      <c r="AY459" s="65"/>
      <c r="AZ459" s="65"/>
      <c r="BA459" s="65"/>
      <c r="BB459" s="65"/>
      <c r="BC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56"/>
      <c r="M460" s="56"/>
      <c r="N460" s="56"/>
      <c r="O460" s="56"/>
      <c r="P460" s="56"/>
      <c r="Q460" s="56"/>
      <c r="R460" s="56"/>
      <c r="S460" s="56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56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  <c r="AW460" s="65"/>
      <c r="AX460" s="65"/>
      <c r="AY460" s="65"/>
      <c r="AZ460" s="65"/>
      <c r="BA460" s="65"/>
      <c r="BB460" s="65"/>
      <c r="BC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56"/>
      <c r="M461" s="56"/>
      <c r="N461" s="56"/>
      <c r="O461" s="56"/>
      <c r="P461" s="56"/>
      <c r="Q461" s="56"/>
      <c r="R461" s="56"/>
      <c r="S461" s="56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56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  <c r="AV461" s="65"/>
      <c r="AW461" s="65"/>
      <c r="AX461" s="65"/>
      <c r="AY461" s="65"/>
      <c r="AZ461" s="65"/>
      <c r="BA461" s="65"/>
      <c r="BB461" s="65"/>
      <c r="BC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56"/>
      <c r="M462" s="56"/>
      <c r="N462" s="56"/>
      <c r="O462" s="56"/>
      <c r="P462" s="56"/>
      <c r="Q462" s="56"/>
      <c r="R462" s="56"/>
      <c r="S462" s="56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56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  <c r="AW462" s="65"/>
      <c r="AX462" s="65"/>
      <c r="AY462" s="65"/>
      <c r="AZ462" s="65"/>
      <c r="BA462" s="65"/>
      <c r="BB462" s="65"/>
      <c r="BC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56"/>
      <c r="M463" s="56"/>
      <c r="N463" s="56"/>
      <c r="O463" s="56"/>
      <c r="P463" s="56"/>
      <c r="Q463" s="56"/>
      <c r="R463" s="56"/>
      <c r="S463" s="56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56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  <c r="AV463" s="65"/>
      <c r="AW463" s="65"/>
      <c r="AX463" s="65"/>
      <c r="AY463" s="65"/>
      <c r="AZ463" s="65"/>
      <c r="BA463" s="65"/>
      <c r="BB463" s="65"/>
      <c r="BC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56"/>
      <c r="M464" s="56"/>
      <c r="N464" s="56"/>
      <c r="O464" s="56"/>
      <c r="P464" s="56"/>
      <c r="Q464" s="56"/>
      <c r="R464" s="56"/>
      <c r="S464" s="56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56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  <c r="AV464" s="65"/>
      <c r="AW464" s="65"/>
      <c r="AX464" s="65"/>
      <c r="AY464" s="65"/>
      <c r="AZ464" s="65"/>
      <c r="BA464" s="65"/>
      <c r="BB464" s="65"/>
      <c r="BC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56"/>
      <c r="M465" s="56"/>
      <c r="N465" s="56"/>
      <c r="O465" s="56"/>
      <c r="P465" s="56"/>
      <c r="Q465" s="56"/>
      <c r="R465" s="56"/>
      <c r="S465" s="56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56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56"/>
      <c r="M466" s="56"/>
      <c r="N466" s="56"/>
      <c r="O466" s="56"/>
      <c r="P466" s="56"/>
      <c r="Q466" s="56"/>
      <c r="R466" s="56"/>
      <c r="S466" s="56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56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56"/>
      <c r="M467" s="56"/>
      <c r="N467" s="56"/>
      <c r="O467" s="56"/>
      <c r="P467" s="56"/>
      <c r="Q467" s="56"/>
      <c r="R467" s="56"/>
      <c r="S467" s="56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56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56"/>
      <c r="M468" s="56"/>
      <c r="N468" s="56"/>
      <c r="O468" s="56"/>
      <c r="P468" s="56"/>
      <c r="Q468" s="56"/>
      <c r="R468" s="56"/>
      <c r="S468" s="56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56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56"/>
      <c r="M469" s="56"/>
      <c r="N469" s="56"/>
      <c r="O469" s="56"/>
      <c r="P469" s="56"/>
      <c r="Q469" s="56"/>
      <c r="R469" s="56"/>
      <c r="S469" s="56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56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56"/>
      <c r="M470" s="56"/>
      <c r="N470" s="56"/>
      <c r="O470" s="56"/>
      <c r="P470" s="56"/>
      <c r="Q470" s="56"/>
      <c r="R470" s="56"/>
      <c r="S470" s="56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56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56"/>
      <c r="M471" s="56"/>
      <c r="N471" s="56"/>
      <c r="O471" s="56"/>
      <c r="P471" s="56"/>
      <c r="Q471" s="56"/>
      <c r="R471" s="56"/>
      <c r="S471" s="56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56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56"/>
      <c r="M472" s="56"/>
      <c r="N472" s="56"/>
      <c r="O472" s="56"/>
      <c r="P472" s="56"/>
      <c r="Q472" s="56"/>
      <c r="R472" s="56"/>
      <c r="S472" s="56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56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  <c r="AV472" s="65"/>
      <c r="AW472" s="65"/>
      <c r="AX472" s="65"/>
      <c r="AY472" s="65"/>
      <c r="AZ472" s="65"/>
      <c r="BA472" s="65"/>
      <c r="BB472" s="65"/>
      <c r="BC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56"/>
      <c r="M473" s="56"/>
      <c r="N473" s="56"/>
      <c r="O473" s="56"/>
      <c r="P473" s="56"/>
      <c r="Q473" s="56"/>
      <c r="R473" s="56"/>
      <c r="S473" s="56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56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  <c r="AV473" s="65"/>
      <c r="AW473" s="65"/>
      <c r="AX473" s="65"/>
      <c r="AY473" s="65"/>
      <c r="AZ473" s="65"/>
      <c r="BA473" s="65"/>
      <c r="BB473" s="65"/>
      <c r="BC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56"/>
      <c r="M474" s="56"/>
      <c r="N474" s="56"/>
      <c r="O474" s="56"/>
      <c r="P474" s="56"/>
      <c r="Q474" s="56"/>
      <c r="R474" s="56"/>
      <c r="S474" s="56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56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  <c r="AW474" s="65"/>
      <c r="AX474" s="65"/>
      <c r="AY474" s="65"/>
      <c r="AZ474" s="65"/>
      <c r="BA474" s="65"/>
      <c r="BB474" s="65"/>
      <c r="BC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56"/>
      <c r="M475" s="56"/>
      <c r="N475" s="56"/>
      <c r="O475" s="56"/>
      <c r="P475" s="56"/>
      <c r="Q475" s="56"/>
      <c r="R475" s="56"/>
      <c r="S475" s="56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56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56"/>
      <c r="M476" s="56"/>
      <c r="N476" s="56"/>
      <c r="O476" s="56"/>
      <c r="P476" s="56"/>
      <c r="Q476" s="56"/>
      <c r="R476" s="56"/>
      <c r="S476" s="56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56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56"/>
      <c r="M477" s="56"/>
      <c r="N477" s="56"/>
      <c r="O477" s="56"/>
      <c r="P477" s="56"/>
      <c r="Q477" s="56"/>
      <c r="R477" s="56"/>
      <c r="S477" s="56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56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  <c r="AV477" s="65"/>
      <c r="AW477" s="65"/>
      <c r="AX477" s="65"/>
      <c r="AY477" s="65"/>
      <c r="AZ477" s="65"/>
      <c r="BA477" s="65"/>
      <c r="BB477" s="65"/>
      <c r="BC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56"/>
      <c r="M478" s="56"/>
      <c r="N478" s="56"/>
      <c r="O478" s="56"/>
      <c r="P478" s="56"/>
      <c r="Q478" s="56"/>
      <c r="R478" s="56"/>
      <c r="S478" s="56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56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  <c r="AV478" s="65"/>
      <c r="AW478" s="65"/>
      <c r="AX478" s="65"/>
      <c r="AY478" s="65"/>
      <c r="AZ478" s="65"/>
      <c r="BA478" s="65"/>
      <c r="BB478" s="65"/>
      <c r="BC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56"/>
      <c r="M479" s="56"/>
      <c r="N479" s="56"/>
      <c r="O479" s="56"/>
      <c r="P479" s="56"/>
      <c r="Q479" s="56"/>
      <c r="R479" s="56"/>
      <c r="S479" s="56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56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  <c r="AW479" s="65"/>
      <c r="AX479" s="65"/>
      <c r="AY479" s="65"/>
      <c r="AZ479" s="65"/>
      <c r="BA479" s="65"/>
      <c r="BB479" s="65"/>
      <c r="BC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56"/>
      <c r="M480" s="56"/>
      <c r="N480" s="56"/>
      <c r="O480" s="56"/>
      <c r="P480" s="56"/>
      <c r="Q480" s="56"/>
      <c r="R480" s="56"/>
      <c r="S480" s="56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56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  <c r="AV480" s="65"/>
      <c r="AW480" s="65"/>
      <c r="AX480" s="65"/>
      <c r="AY480" s="65"/>
      <c r="AZ480" s="65"/>
      <c r="BA480" s="65"/>
      <c r="BB480" s="65"/>
      <c r="BC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56"/>
      <c r="M481" s="56"/>
      <c r="N481" s="56"/>
      <c r="O481" s="56"/>
      <c r="P481" s="56"/>
      <c r="Q481" s="56"/>
      <c r="R481" s="56"/>
      <c r="S481" s="56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56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  <c r="AW481" s="65"/>
      <c r="AX481" s="65"/>
      <c r="AY481" s="65"/>
      <c r="AZ481" s="65"/>
      <c r="BA481" s="65"/>
      <c r="BB481" s="65"/>
      <c r="BC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56"/>
      <c r="M482" s="56"/>
      <c r="N482" s="56"/>
      <c r="O482" s="56"/>
      <c r="P482" s="56"/>
      <c r="Q482" s="56"/>
      <c r="R482" s="56"/>
      <c r="S482" s="56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56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  <c r="AV482" s="65"/>
      <c r="AW482" s="65"/>
      <c r="AX482" s="65"/>
      <c r="AY482" s="65"/>
      <c r="AZ482" s="65"/>
      <c r="BA482" s="65"/>
      <c r="BB482" s="65"/>
      <c r="BC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56"/>
      <c r="M483" s="56"/>
      <c r="N483" s="56"/>
      <c r="O483" s="56"/>
      <c r="P483" s="56"/>
      <c r="Q483" s="56"/>
      <c r="R483" s="56"/>
      <c r="S483" s="56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56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  <c r="AV483" s="65"/>
      <c r="AW483" s="65"/>
      <c r="AX483" s="65"/>
      <c r="AY483" s="65"/>
      <c r="AZ483" s="65"/>
      <c r="BA483" s="65"/>
      <c r="BB483" s="65"/>
      <c r="BC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56"/>
      <c r="M484" s="56"/>
      <c r="N484" s="56"/>
      <c r="O484" s="56"/>
      <c r="P484" s="56"/>
      <c r="Q484" s="56"/>
      <c r="R484" s="56"/>
      <c r="S484" s="56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56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  <c r="AT484" s="65"/>
      <c r="AU484" s="65"/>
      <c r="AV484" s="65"/>
      <c r="AW484" s="65"/>
      <c r="AX484" s="65"/>
      <c r="AY484" s="65"/>
      <c r="AZ484" s="65"/>
      <c r="BA484" s="65"/>
      <c r="BB484" s="65"/>
      <c r="BC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56"/>
      <c r="M485" s="56"/>
      <c r="N485" s="56"/>
      <c r="O485" s="56"/>
      <c r="P485" s="56"/>
      <c r="Q485" s="56"/>
      <c r="R485" s="56"/>
      <c r="S485" s="56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56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  <c r="AT485" s="65"/>
      <c r="AU485" s="65"/>
      <c r="AV485" s="65"/>
      <c r="AW485" s="65"/>
      <c r="AX485" s="65"/>
      <c r="AY485" s="65"/>
      <c r="AZ485" s="65"/>
      <c r="BA485" s="65"/>
      <c r="BB485" s="65"/>
      <c r="BC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56"/>
      <c r="M486" s="56"/>
      <c r="N486" s="56"/>
      <c r="O486" s="56"/>
      <c r="P486" s="56"/>
      <c r="Q486" s="56"/>
      <c r="R486" s="56"/>
      <c r="S486" s="56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56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  <c r="AT486" s="65"/>
      <c r="AU486" s="65"/>
      <c r="AV486" s="65"/>
      <c r="AW486" s="65"/>
      <c r="AX486" s="65"/>
      <c r="AY486" s="65"/>
      <c r="AZ486" s="65"/>
      <c r="BA486" s="65"/>
      <c r="BB486" s="65"/>
      <c r="BC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56"/>
      <c r="M487" s="56"/>
      <c r="N487" s="56"/>
      <c r="O487" s="56"/>
      <c r="P487" s="56"/>
      <c r="Q487" s="56"/>
      <c r="R487" s="56"/>
      <c r="S487" s="56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56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  <c r="AT487" s="65"/>
      <c r="AU487" s="65"/>
      <c r="AV487" s="65"/>
      <c r="AW487" s="65"/>
      <c r="AX487" s="65"/>
      <c r="AY487" s="65"/>
      <c r="AZ487" s="65"/>
      <c r="BA487" s="65"/>
      <c r="BB487" s="65"/>
      <c r="BC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56"/>
      <c r="M488" s="56"/>
      <c r="N488" s="56"/>
      <c r="O488" s="56"/>
      <c r="P488" s="56"/>
      <c r="Q488" s="56"/>
      <c r="R488" s="56"/>
      <c r="S488" s="56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56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  <c r="AW488" s="65"/>
      <c r="AX488" s="65"/>
      <c r="AY488" s="65"/>
      <c r="AZ488" s="65"/>
      <c r="BA488" s="65"/>
      <c r="BB488" s="65"/>
      <c r="BC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56"/>
      <c r="M489" s="56"/>
      <c r="N489" s="56"/>
      <c r="O489" s="56"/>
      <c r="P489" s="56"/>
      <c r="Q489" s="56"/>
      <c r="R489" s="56"/>
      <c r="S489" s="56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56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  <c r="AW489" s="65"/>
      <c r="AX489" s="65"/>
      <c r="AY489" s="65"/>
      <c r="AZ489" s="65"/>
      <c r="BA489" s="65"/>
      <c r="BB489" s="65"/>
      <c r="BC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56"/>
      <c r="M490" s="56"/>
      <c r="N490" s="56"/>
      <c r="O490" s="56"/>
      <c r="P490" s="56"/>
      <c r="Q490" s="56"/>
      <c r="R490" s="56"/>
      <c r="S490" s="56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56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56"/>
      <c r="M491" s="56"/>
      <c r="N491" s="56"/>
      <c r="O491" s="56"/>
      <c r="P491" s="56"/>
      <c r="Q491" s="56"/>
      <c r="R491" s="56"/>
      <c r="S491" s="56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56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56"/>
      <c r="M492" s="56"/>
      <c r="N492" s="56"/>
      <c r="O492" s="56"/>
      <c r="P492" s="56"/>
      <c r="Q492" s="56"/>
      <c r="R492" s="56"/>
      <c r="S492" s="56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56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  <c r="AW492" s="65"/>
      <c r="AX492" s="65"/>
      <c r="AY492" s="65"/>
      <c r="AZ492" s="65"/>
      <c r="BA492" s="65"/>
      <c r="BB492" s="65"/>
      <c r="BC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56"/>
      <c r="M493" s="56"/>
      <c r="N493" s="56"/>
      <c r="O493" s="56"/>
      <c r="P493" s="56"/>
      <c r="Q493" s="56"/>
      <c r="R493" s="56"/>
      <c r="S493" s="56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56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56"/>
      <c r="M494" s="56"/>
      <c r="N494" s="56"/>
      <c r="O494" s="56"/>
      <c r="P494" s="56"/>
      <c r="Q494" s="56"/>
      <c r="R494" s="56"/>
      <c r="S494" s="56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56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56"/>
      <c r="M495" s="56"/>
      <c r="N495" s="56"/>
      <c r="O495" s="56"/>
      <c r="P495" s="56"/>
      <c r="Q495" s="56"/>
      <c r="R495" s="56"/>
      <c r="S495" s="56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56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56"/>
      <c r="M496" s="56"/>
      <c r="N496" s="56"/>
      <c r="O496" s="56"/>
      <c r="P496" s="56"/>
      <c r="Q496" s="56"/>
      <c r="R496" s="56"/>
      <c r="S496" s="56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56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56"/>
      <c r="M497" s="56"/>
      <c r="N497" s="56"/>
      <c r="O497" s="56"/>
      <c r="P497" s="56"/>
      <c r="Q497" s="56"/>
      <c r="R497" s="56"/>
      <c r="S497" s="56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56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56"/>
      <c r="M498" s="56"/>
      <c r="N498" s="56"/>
      <c r="O498" s="56"/>
      <c r="P498" s="56"/>
      <c r="Q498" s="56"/>
      <c r="R498" s="56"/>
      <c r="S498" s="56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56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56"/>
      <c r="M499" s="56"/>
      <c r="N499" s="56"/>
      <c r="O499" s="56"/>
      <c r="P499" s="56"/>
      <c r="Q499" s="56"/>
      <c r="R499" s="56"/>
      <c r="S499" s="56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56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56"/>
      <c r="M500" s="56"/>
      <c r="N500" s="56"/>
      <c r="O500" s="56"/>
      <c r="P500" s="56"/>
      <c r="Q500" s="56"/>
      <c r="R500" s="56"/>
      <c r="S500" s="56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56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56"/>
      <c r="M501" s="56"/>
      <c r="N501" s="56"/>
      <c r="O501" s="56"/>
      <c r="P501" s="56"/>
      <c r="Q501" s="56"/>
      <c r="R501" s="56"/>
      <c r="S501" s="56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56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  <c r="AW501" s="65"/>
      <c r="AX501" s="65"/>
      <c r="AY501" s="65"/>
      <c r="AZ501" s="65"/>
      <c r="BA501" s="65"/>
      <c r="BB501" s="65"/>
      <c r="BC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56"/>
      <c r="M502" s="56"/>
      <c r="N502" s="56"/>
      <c r="O502" s="56"/>
      <c r="P502" s="56"/>
      <c r="Q502" s="56"/>
      <c r="R502" s="56"/>
      <c r="S502" s="56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56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  <c r="AW502" s="65"/>
      <c r="AX502" s="65"/>
      <c r="AY502" s="65"/>
      <c r="AZ502" s="65"/>
      <c r="BA502" s="65"/>
      <c r="BB502" s="65"/>
      <c r="BC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56"/>
      <c r="M503" s="56"/>
      <c r="N503" s="56"/>
      <c r="O503" s="56"/>
      <c r="P503" s="56"/>
      <c r="Q503" s="56"/>
      <c r="R503" s="56"/>
      <c r="S503" s="56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56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  <c r="AW503" s="65"/>
      <c r="AX503" s="65"/>
      <c r="AY503" s="65"/>
      <c r="AZ503" s="65"/>
      <c r="BA503" s="65"/>
      <c r="BB503" s="65"/>
      <c r="BC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56"/>
      <c r="M504" s="56"/>
      <c r="N504" s="56"/>
      <c r="O504" s="56"/>
      <c r="P504" s="56"/>
      <c r="Q504" s="56"/>
      <c r="R504" s="56"/>
      <c r="S504" s="56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56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56"/>
      <c r="M505" s="56"/>
      <c r="N505" s="56"/>
      <c r="O505" s="56"/>
      <c r="P505" s="56"/>
      <c r="Q505" s="56"/>
      <c r="R505" s="56"/>
      <c r="S505" s="56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56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56"/>
      <c r="M506" s="56"/>
      <c r="N506" s="56"/>
      <c r="O506" s="56"/>
      <c r="P506" s="56"/>
      <c r="Q506" s="56"/>
      <c r="R506" s="56"/>
      <c r="S506" s="56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56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  <c r="AW506" s="65"/>
      <c r="AX506" s="65"/>
      <c r="AY506" s="65"/>
      <c r="AZ506" s="65"/>
      <c r="BA506" s="65"/>
      <c r="BB506" s="65"/>
      <c r="BC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56"/>
      <c r="M507" s="56"/>
      <c r="N507" s="56"/>
      <c r="O507" s="56"/>
      <c r="P507" s="56"/>
      <c r="Q507" s="56"/>
      <c r="R507" s="56"/>
      <c r="S507" s="56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56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  <c r="AW507" s="65"/>
      <c r="AX507" s="65"/>
      <c r="AY507" s="65"/>
      <c r="AZ507" s="65"/>
      <c r="BA507" s="65"/>
      <c r="BB507" s="65"/>
      <c r="BC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56"/>
      <c r="M508" s="56"/>
      <c r="N508" s="56"/>
      <c r="O508" s="56"/>
      <c r="P508" s="56"/>
      <c r="Q508" s="56"/>
      <c r="R508" s="56"/>
      <c r="S508" s="56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56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  <c r="AW508" s="65"/>
      <c r="AX508" s="65"/>
      <c r="AY508" s="65"/>
      <c r="AZ508" s="65"/>
      <c r="BA508" s="65"/>
      <c r="BB508" s="65"/>
      <c r="BC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56"/>
      <c r="M509" s="56"/>
      <c r="N509" s="56"/>
      <c r="O509" s="56"/>
      <c r="P509" s="56"/>
      <c r="Q509" s="56"/>
      <c r="R509" s="56"/>
      <c r="S509" s="56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56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  <c r="AW509" s="65"/>
      <c r="AX509" s="65"/>
      <c r="AY509" s="65"/>
      <c r="AZ509" s="65"/>
      <c r="BA509" s="65"/>
      <c r="BB509" s="65"/>
      <c r="BC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56"/>
      <c r="M510" s="56"/>
      <c r="N510" s="56"/>
      <c r="O510" s="56"/>
      <c r="P510" s="56"/>
      <c r="Q510" s="56"/>
      <c r="R510" s="56"/>
      <c r="S510" s="56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56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56"/>
      <c r="M511" s="56"/>
      <c r="N511" s="56"/>
      <c r="O511" s="56"/>
      <c r="P511" s="56"/>
      <c r="Q511" s="56"/>
      <c r="R511" s="56"/>
      <c r="S511" s="56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56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56"/>
      <c r="M512" s="56"/>
      <c r="N512" s="56"/>
      <c r="O512" s="56"/>
      <c r="P512" s="56"/>
      <c r="Q512" s="56"/>
      <c r="R512" s="56"/>
      <c r="S512" s="56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56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56"/>
      <c r="M513" s="56"/>
      <c r="N513" s="56"/>
      <c r="O513" s="56"/>
      <c r="P513" s="56"/>
      <c r="Q513" s="56"/>
      <c r="R513" s="56"/>
      <c r="S513" s="56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56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56"/>
      <c r="M514" s="56"/>
      <c r="N514" s="56"/>
      <c r="O514" s="56"/>
      <c r="P514" s="56"/>
      <c r="Q514" s="56"/>
      <c r="R514" s="56"/>
      <c r="S514" s="56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56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  <c r="AW514" s="65"/>
      <c r="AX514" s="65"/>
      <c r="AY514" s="65"/>
      <c r="AZ514" s="65"/>
      <c r="BA514" s="65"/>
      <c r="BB514" s="65"/>
      <c r="BC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56"/>
      <c r="M515" s="56"/>
      <c r="N515" s="56"/>
      <c r="O515" s="56"/>
      <c r="P515" s="56"/>
      <c r="Q515" s="56"/>
      <c r="R515" s="56"/>
      <c r="S515" s="56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56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  <c r="AW515" s="65"/>
      <c r="AX515" s="65"/>
      <c r="AY515" s="65"/>
      <c r="AZ515" s="65"/>
      <c r="BA515" s="65"/>
      <c r="BB515" s="65"/>
      <c r="BC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56"/>
      <c r="M516" s="56"/>
      <c r="N516" s="56"/>
      <c r="O516" s="56"/>
      <c r="P516" s="56"/>
      <c r="Q516" s="56"/>
      <c r="R516" s="56"/>
      <c r="S516" s="56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56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  <c r="AW516" s="65"/>
      <c r="AX516" s="65"/>
      <c r="AY516" s="65"/>
      <c r="AZ516" s="65"/>
      <c r="BA516" s="65"/>
      <c r="BB516" s="65"/>
      <c r="BC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56"/>
      <c r="M517" s="56"/>
      <c r="N517" s="56"/>
      <c r="O517" s="56"/>
      <c r="P517" s="56"/>
      <c r="Q517" s="56"/>
      <c r="R517" s="56"/>
      <c r="S517" s="56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56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5"/>
      <c r="AY517" s="65"/>
      <c r="AZ517" s="65"/>
      <c r="BA517" s="65"/>
      <c r="BB517" s="65"/>
      <c r="BC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56"/>
      <c r="M518" s="56"/>
      <c r="N518" s="56"/>
      <c r="O518" s="56"/>
      <c r="P518" s="56"/>
      <c r="Q518" s="56"/>
      <c r="R518" s="56"/>
      <c r="S518" s="56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56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56"/>
      <c r="M519" s="56"/>
      <c r="N519" s="56"/>
      <c r="O519" s="56"/>
      <c r="P519" s="56"/>
      <c r="Q519" s="56"/>
      <c r="R519" s="56"/>
      <c r="S519" s="56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56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  <c r="AW519" s="65"/>
      <c r="AX519" s="65"/>
      <c r="AY519" s="65"/>
      <c r="AZ519" s="65"/>
      <c r="BA519" s="65"/>
      <c r="BB519" s="65"/>
      <c r="BC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56"/>
      <c r="M520" s="56"/>
      <c r="N520" s="56"/>
      <c r="O520" s="56"/>
      <c r="P520" s="56"/>
      <c r="Q520" s="56"/>
      <c r="R520" s="56"/>
      <c r="S520" s="56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56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  <c r="AW520" s="65"/>
      <c r="AX520" s="65"/>
      <c r="AY520" s="65"/>
      <c r="AZ520" s="65"/>
      <c r="BA520" s="65"/>
      <c r="BB520" s="65"/>
      <c r="BC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56"/>
      <c r="M521" s="56"/>
      <c r="N521" s="56"/>
      <c r="O521" s="56"/>
      <c r="P521" s="56"/>
      <c r="Q521" s="56"/>
      <c r="R521" s="56"/>
      <c r="S521" s="56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56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56"/>
      <c r="M522" s="56"/>
      <c r="N522" s="56"/>
      <c r="O522" s="56"/>
      <c r="P522" s="56"/>
      <c r="Q522" s="56"/>
      <c r="R522" s="56"/>
      <c r="S522" s="56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56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56"/>
      <c r="M523" s="56"/>
      <c r="N523" s="56"/>
      <c r="O523" s="56"/>
      <c r="P523" s="56"/>
      <c r="Q523" s="56"/>
      <c r="R523" s="56"/>
      <c r="S523" s="56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56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56"/>
      <c r="M524" s="56"/>
      <c r="N524" s="56"/>
      <c r="O524" s="56"/>
      <c r="P524" s="56"/>
      <c r="Q524" s="56"/>
      <c r="R524" s="56"/>
      <c r="S524" s="56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56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56"/>
      <c r="M525" s="56"/>
      <c r="N525" s="56"/>
      <c r="O525" s="56"/>
      <c r="P525" s="56"/>
      <c r="Q525" s="56"/>
      <c r="R525" s="56"/>
      <c r="S525" s="56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56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56"/>
      <c r="M526" s="56"/>
      <c r="N526" s="56"/>
      <c r="O526" s="56"/>
      <c r="P526" s="56"/>
      <c r="Q526" s="56"/>
      <c r="R526" s="56"/>
      <c r="S526" s="56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56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56"/>
      <c r="M527" s="56"/>
      <c r="N527" s="56"/>
      <c r="O527" s="56"/>
      <c r="P527" s="56"/>
      <c r="Q527" s="56"/>
      <c r="R527" s="56"/>
      <c r="S527" s="56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56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  <c r="AW527" s="65"/>
      <c r="AX527" s="65"/>
      <c r="AY527" s="65"/>
      <c r="AZ527" s="65"/>
      <c r="BA527" s="65"/>
      <c r="BB527" s="65"/>
      <c r="BC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56"/>
      <c r="M528" s="56"/>
      <c r="N528" s="56"/>
      <c r="O528" s="56"/>
      <c r="P528" s="56"/>
      <c r="Q528" s="56"/>
      <c r="R528" s="56"/>
      <c r="S528" s="56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56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  <c r="AW528" s="65"/>
      <c r="AX528" s="65"/>
      <c r="AY528" s="65"/>
      <c r="AZ528" s="65"/>
      <c r="BA528" s="65"/>
      <c r="BB528" s="65"/>
      <c r="BC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56"/>
      <c r="M529" s="56"/>
      <c r="N529" s="56"/>
      <c r="O529" s="56"/>
      <c r="P529" s="56"/>
      <c r="Q529" s="56"/>
      <c r="R529" s="56"/>
      <c r="S529" s="56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56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  <c r="AW529" s="65"/>
      <c r="AX529" s="65"/>
      <c r="AY529" s="65"/>
      <c r="AZ529" s="65"/>
      <c r="BA529" s="65"/>
      <c r="BB529" s="65"/>
      <c r="BC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56"/>
      <c r="M530" s="56"/>
      <c r="N530" s="56"/>
      <c r="O530" s="56"/>
      <c r="P530" s="56"/>
      <c r="Q530" s="56"/>
      <c r="R530" s="56"/>
      <c r="S530" s="56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56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56"/>
      <c r="M531" s="56"/>
      <c r="N531" s="56"/>
      <c r="O531" s="56"/>
      <c r="P531" s="56"/>
      <c r="Q531" s="56"/>
      <c r="R531" s="56"/>
      <c r="S531" s="56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56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  <c r="AW531" s="65"/>
      <c r="AX531" s="65"/>
      <c r="AY531" s="65"/>
      <c r="AZ531" s="65"/>
      <c r="BA531" s="65"/>
      <c r="BB531" s="65"/>
      <c r="BC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56"/>
      <c r="M532" s="56"/>
      <c r="N532" s="56"/>
      <c r="O532" s="56"/>
      <c r="P532" s="56"/>
      <c r="Q532" s="56"/>
      <c r="R532" s="56"/>
      <c r="S532" s="56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56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  <c r="AW532" s="65"/>
      <c r="AX532" s="65"/>
      <c r="AY532" s="65"/>
      <c r="AZ532" s="65"/>
      <c r="BA532" s="65"/>
      <c r="BB532" s="65"/>
      <c r="BC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56"/>
      <c r="M533" s="56"/>
      <c r="N533" s="56"/>
      <c r="O533" s="56"/>
      <c r="P533" s="56"/>
      <c r="Q533" s="56"/>
      <c r="R533" s="56"/>
      <c r="S533" s="56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56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  <c r="AW533" s="65"/>
      <c r="AX533" s="65"/>
      <c r="AY533" s="65"/>
      <c r="AZ533" s="65"/>
      <c r="BA533" s="65"/>
      <c r="BB533" s="65"/>
      <c r="BC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56"/>
      <c r="M534" s="56"/>
      <c r="N534" s="56"/>
      <c r="O534" s="56"/>
      <c r="P534" s="56"/>
      <c r="Q534" s="56"/>
      <c r="R534" s="56"/>
      <c r="S534" s="56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56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56"/>
      <c r="M535" s="56"/>
      <c r="N535" s="56"/>
      <c r="O535" s="56"/>
      <c r="P535" s="56"/>
      <c r="Q535" s="56"/>
      <c r="R535" s="56"/>
      <c r="S535" s="56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56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56"/>
      <c r="M536" s="56"/>
      <c r="N536" s="56"/>
      <c r="O536" s="56"/>
      <c r="P536" s="56"/>
      <c r="Q536" s="56"/>
      <c r="R536" s="56"/>
      <c r="S536" s="56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56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56"/>
      <c r="M537" s="56"/>
      <c r="N537" s="56"/>
      <c r="O537" s="56"/>
      <c r="P537" s="56"/>
      <c r="Q537" s="56"/>
      <c r="R537" s="56"/>
      <c r="S537" s="56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56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5"/>
      <c r="AY537" s="65"/>
      <c r="AZ537" s="65"/>
      <c r="BA537" s="65"/>
      <c r="BB537" s="65"/>
      <c r="BC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56"/>
      <c r="M538" s="56"/>
      <c r="N538" s="56"/>
      <c r="O538" s="56"/>
      <c r="P538" s="56"/>
      <c r="Q538" s="56"/>
      <c r="R538" s="56"/>
      <c r="S538" s="56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56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  <c r="AW538" s="65"/>
      <c r="AX538" s="65"/>
      <c r="AY538" s="65"/>
      <c r="AZ538" s="65"/>
      <c r="BA538" s="65"/>
      <c r="BB538" s="65"/>
      <c r="BC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56"/>
      <c r="M539" s="56"/>
      <c r="N539" s="56"/>
      <c r="O539" s="56"/>
      <c r="P539" s="56"/>
      <c r="Q539" s="56"/>
      <c r="R539" s="56"/>
      <c r="S539" s="56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56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56"/>
      <c r="M540" s="56"/>
      <c r="N540" s="56"/>
      <c r="O540" s="56"/>
      <c r="P540" s="56"/>
      <c r="Q540" s="56"/>
      <c r="R540" s="56"/>
      <c r="S540" s="56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56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56"/>
      <c r="M541" s="56"/>
      <c r="N541" s="56"/>
      <c r="O541" s="56"/>
      <c r="P541" s="56"/>
      <c r="Q541" s="56"/>
      <c r="R541" s="56"/>
      <c r="S541" s="56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56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56"/>
      <c r="M542" s="56"/>
      <c r="N542" s="56"/>
      <c r="O542" s="56"/>
      <c r="P542" s="56"/>
      <c r="Q542" s="56"/>
      <c r="R542" s="56"/>
      <c r="S542" s="56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56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56"/>
      <c r="M543" s="56"/>
      <c r="N543" s="56"/>
      <c r="O543" s="56"/>
      <c r="P543" s="56"/>
      <c r="Q543" s="56"/>
      <c r="R543" s="56"/>
      <c r="S543" s="56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56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56"/>
      <c r="M544" s="56"/>
      <c r="N544" s="56"/>
      <c r="O544" s="56"/>
      <c r="P544" s="56"/>
      <c r="Q544" s="56"/>
      <c r="R544" s="56"/>
      <c r="S544" s="56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56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56"/>
      <c r="M545" s="56"/>
      <c r="N545" s="56"/>
      <c r="O545" s="56"/>
      <c r="P545" s="56"/>
      <c r="Q545" s="56"/>
      <c r="R545" s="56"/>
      <c r="S545" s="56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56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56"/>
      <c r="M546" s="56"/>
      <c r="N546" s="56"/>
      <c r="O546" s="56"/>
      <c r="P546" s="56"/>
      <c r="Q546" s="56"/>
      <c r="R546" s="56"/>
      <c r="S546" s="56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56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56"/>
      <c r="M547" s="56"/>
      <c r="N547" s="56"/>
      <c r="O547" s="56"/>
      <c r="P547" s="56"/>
      <c r="Q547" s="56"/>
      <c r="R547" s="56"/>
      <c r="S547" s="56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56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56"/>
      <c r="M548" s="56"/>
      <c r="N548" s="56"/>
      <c r="O548" s="56"/>
      <c r="P548" s="56"/>
      <c r="Q548" s="56"/>
      <c r="R548" s="56"/>
      <c r="S548" s="56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56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56"/>
      <c r="M549" s="56"/>
      <c r="N549" s="56"/>
      <c r="O549" s="56"/>
      <c r="P549" s="56"/>
      <c r="Q549" s="56"/>
      <c r="R549" s="56"/>
      <c r="S549" s="56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56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56"/>
      <c r="M550" s="56"/>
      <c r="N550" s="56"/>
      <c r="O550" s="56"/>
      <c r="P550" s="56"/>
      <c r="Q550" s="56"/>
      <c r="R550" s="56"/>
      <c r="S550" s="56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56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  <c r="AW550" s="65"/>
      <c r="AX550" s="65"/>
      <c r="AY550" s="65"/>
      <c r="AZ550" s="65"/>
      <c r="BA550" s="65"/>
      <c r="BB550" s="65"/>
      <c r="BC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56"/>
      <c r="M551" s="56"/>
      <c r="N551" s="56"/>
      <c r="O551" s="56"/>
      <c r="P551" s="56"/>
      <c r="Q551" s="56"/>
      <c r="R551" s="56"/>
      <c r="S551" s="56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56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56"/>
      <c r="M552" s="56"/>
      <c r="N552" s="56"/>
      <c r="O552" s="56"/>
      <c r="P552" s="56"/>
      <c r="Q552" s="56"/>
      <c r="R552" s="56"/>
      <c r="S552" s="56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56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  <c r="AW552" s="65"/>
      <c r="AX552" s="65"/>
      <c r="AY552" s="65"/>
      <c r="AZ552" s="65"/>
      <c r="BA552" s="65"/>
      <c r="BB552" s="65"/>
      <c r="BC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56"/>
      <c r="M553" s="56"/>
      <c r="N553" s="56"/>
      <c r="O553" s="56"/>
      <c r="P553" s="56"/>
      <c r="Q553" s="56"/>
      <c r="R553" s="56"/>
      <c r="S553" s="56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56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  <c r="AW553" s="65"/>
      <c r="AX553" s="65"/>
      <c r="AY553" s="65"/>
      <c r="AZ553" s="65"/>
      <c r="BA553" s="65"/>
      <c r="BB553" s="65"/>
      <c r="BC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56"/>
      <c r="M554" s="56"/>
      <c r="N554" s="56"/>
      <c r="O554" s="56"/>
      <c r="P554" s="56"/>
      <c r="Q554" s="56"/>
      <c r="R554" s="56"/>
      <c r="S554" s="56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56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  <c r="AW554" s="65"/>
      <c r="AX554" s="65"/>
      <c r="AY554" s="65"/>
      <c r="AZ554" s="65"/>
      <c r="BA554" s="65"/>
      <c r="BB554" s="65"/>
      <c r="BC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56"/>
      <c r="M555" s="56"/>
      <c r="N555" s="56"/>
      <c r="O555" s="56"/>
      <c r="P555" s="56"/>
      <c r="Q555" s="56"/>
      <c r="R555" s="56"/>
      <c r="S555" s="56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56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56"/>
      <c r="M556" s="56"/>
      <c r="N556" s="56"/>
      <c r="O556" s="56"/>
      <c r="P556" s="56"/>
      <c r="Q556" s="56"/>
      <c r="R556" s="56"/>
      <c r="S556" s="56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56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  <c r="AW556" s="65"/>
      <c r="AX556" s="65"/>
      <c r="AY556" s="65"/>
      <c r="AZ556" s="65"/>
      <c r="BA556" s="65"/>
      <c r="BB556" s="65"/>
      <c r="BC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56"/>
      <c r="M557" s="56"/>
      <c r="N557" s="56"/>
      <c r="O557" s="56"/>
      <c r="P557" s="56"/>
      <c r="Q557" s="56"/>
      <c r="R557" s="56"/>
      <c r="S557" s="56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56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56"/>
      <c r="M558" s="56"/>
      <c r="N558" s="56"/>
      <c r="O558" s="56"/>
      <c r="P558" s="56"/>
      <c r="Q558" s="56"/>
      <c r="R558" s="56"/>
      <c r="S558" s="56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56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  <c r="AW558" s="65"/>
      <c r="AX558" s="65"/>
      <c r="AY558" s="65"/>
      <c r="AZ558" s="65"/>
      <c r="BA558" s="65"/>
      <c r="BB558" s="65"/>
      <c r="BC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56"/>
      <c r="M559" s="56"/>
      <c r="N559" s="56"/>
      <c r="O559" s="56"/>
      <c r="P559" s="56"/>
      <c r="Q559" s="56"/>
      <c r="R559" s="56"/>
      <c r="S559" s="56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56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56"/>
      <c r="M560" s="56"/>
      <c r="N560" s="56"/>
      <c r="O560" s="56"/>
      <c r="P560" s="56"/>
      <c r="Q560" s="56"/>
      <c r="R560" s="56"/>
      <c r="S560" s="56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56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56"/>
      <c r="M561" s="56"/>
      <c r="N561" s="56"/>
      <c r="O561" s="56"/>
      <c r="P561" s="56"/>
      <c r="Q561" s="56"/>
      <c r="R561" s="56"/>
      <c r="S561" s="56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56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56"/>
      <c r="M562" s="56"/>
      <c r="N562" s="56"/>
      <c r="O562" s="56"/>
      <c r="P562" s="56"/>
      <c r="Q562" s="56"/>
      <c r="R562" s="56"/>
      <c r="S562" s="56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56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56"/>
      <c r="M563" s="56"/>
      <c r="N563" s="56"/>
      <c r="O563" s="56"/>
      <c r="P563" s="56"/>
      <c r="Q563" s="56"/>
      <c r="R563" s="56"/>
      <c r="S563" s="56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56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56"/>
      <c r="M564" s="56"/>
      <c r="N564" s="56"/>
      <c r="O564" s="56"/>
      <c r="P564" s="56"/>
      <c r="Q564" s="56"/>
      <c r="R564" s="56"/>
      <c r="S564" s="56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56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56"/>
      <c r="M565" s="56"/>
      <c r="N565" s="56"/>
      <c r="O565" s="56"/>
      <c r="P565" s="56"/>
      <c r="Q565" s="56"/>
      <c r="R565" s="56"/>
      <c r="S565" s="56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56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  <c r="AW565" s="65"/>
      <c r="AX565" s="65"/>
      <c r="AY565" s="65"/>
      <c r="AZ565" s="65"/>
      <c r="BA565" s="65"/>
      <c r="BB565" s="65"/>
      <c r="BC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56"/>
      <c r="M566" s="56"/>
      <c r="N566" s="56"/>
      <c r="O566" s="56"/>
      <c r="P566" s="56"/>
      <c r="Q566" s="56"/>
      <c r="R566" s="56"/>
      <c r="S566" s="56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56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  <c r="AW566" s="65"/>
      <c r="AX566" s="65"/>
      <c r="AY566" s="65"/>
      <c r="AZ566" s="65"/>
      <c r="BA566" s="65"/>
      <c r="BB566" s="65"/>
      <c r="BC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56"/>
      <c r="M567" s="56"/>
      <c r="N567" s="56"/>
      <c r="O567" s="56"/>
      <c r="P567" s="56"/>
      <c r="Q567" s="56"/>
      <c r="R567" s="56"/>
      <c r="S567" s="56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56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56"/>
      <c r="M568" s="56"/>
      <c r="N568" s="56"/>
      <c r="O568" s="56"/>
      <c r="P568" s="56"/>
      <c r="Q568" s="56"/>
      <c r="R568" s="56"/>
      <c r="S568" s="56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56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  <c r="AW568" s="65"/>
      <c r="AX568" s="65"/>
      <c r="AY568" s="65"/>
      <c r="AZ568" s="65"/>
      <c r="BA568" s="65"/>
      <c r="BB568" s="65"/>
      <c r="BC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56"/>
      <c r="M569" s="56"/>
      <c r="N569" s="56"/>
      <c r="O569" s="56"/>
      <c r="P569" s="56"/>
      <c r="Q569" s="56"/>
      <c r="R569" s="56"/>
      <c r="S569" s="56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56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56"/>
      <c r="M570" s="56"/>
      <c r="N570" s="56"/>
      <c r="O570" s="56"/>
      <c r="P570" s="56"/>
      <c r="Q570" s="56"/>
      <c r="R570" s="56"/>
      <c r="S570" s="56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56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56"/>
      <c r="M571" s="56"/>
      <c r="N571" s="56"/>
      <c r="O571" s="56"/>
      <c r="P571" s="56"/>
      <c r="Q571" s="56"/>
      <c r="R571" s="56"/>
      <c r="S571" s="56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56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56"/>
      <c r="M572" s="56"/>
      <c r="N572" s="56"/>
      <c r="O572" s="56"/>
      <c r="P572" s="56"/>
      <c r="Q572" s="56"/>
      <c r="R572" s="56"/>
      <c r="S572" s="56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56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56"/>
      <c r="M573" s="56"/>
      <c r="N573" s="56"/>
      <c r="O573" s="56"/>
      <c r="P573" s="56"/>
      <c r="Q573" s="56"/>
      <c r="R573" s="56"/>
      <c r="S573" s="56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56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56"/>
      <c r="M574" s="56"/>
      <c r="N574" s="56"/>
      <c r="O574" s="56"/>
      <c r="P574" s="56"/>
      <c r="Q574" s="56"/>
      <c r="R574" s="56"/>
      <c r="S574" s="56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56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56"/>
      <c r="M575" s="56"/>
      <c r="N575" s="56"/>
      <c r="O575" s="56"/>
      <c r="P575" s="56"/>
      <c r="Q575" s="56"/>
      <c r="R575" s="56"/>
      <c r="S575" s="56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56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56"/>
      <c r="M576" s="56"/>
      <c r="N576" s="56"/>
      <c r="O576" s="56"/>
      <c r="P576" s="56"/>
      <c r="Q576" s="56"/>
      <c r="R576" s="56"/>
      <c r="S576" s="56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56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56"/>
      <c r="M577" s="56"/>
      <c r="N577" s="56"/>
      <c r="O577" s="56"/>
      <c r="P577" s="56"/>
      <c r="Q577" s="56"/>
      <c r="R577" s="56"/>
      <c r="S577" s="56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56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56"/>
      <c r="M578" s="56"/>
      <c r="N578" s="56"/>
      <c r="O578" s="56"/>
      <c r="P578" s="56"/>
      <c r="Q578" s="56"/>
      <c r="R578" s="56"/>
      <c r="S578" s="56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56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56"/>
      <c r="M579" s="56"/>
      <c r="N579" s="56"/>
      <c r="O579" s="56"/>
      <c r="P579" s="56"/>
      <c r="Q579" s="56"/>
      <c r="R579" s="56"/>
      <c r="S579" s="56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56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56"/>
      <c r="M580" s="56"/>
      <c r="N580" s="56"/>
      <c r="O580" s="56"/>
      <c r="P580" s="56"/>
      <c r="Q580" s="56"/>
      <c r="R580" s="56"/>
      <c r="S580" s="56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56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56"/>
      <c r="M581" s="56"/>
      <c r="N581" s="56"/>
      <c r="O581" s="56"/>
      <c r="P581" s="56"/>
      <c r="Q581" s="56"/>
      <c r="R581" s="56"/>
      <c r="S581" s="56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56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56"/>
      <c r="M582" s="56"/>
      <c r="N582" s="56"/>
      <c r="O582" s="56"/>
      <c r="P582" s="56"/>
      <c r="Q582" s="56"/>
      <c r="R582" s="56"/>
      <c r="S582" s="56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56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  <c r="AW582" s="65"/>
      <c r="AX582" s="65"/>
      <c r="AY582" s="65"/>
      <c r="AZ582" s="65"/>
      <c r="BA582" s="65"/>
      <c r="BB582" s="65"/>
      <c r="BC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56"/>
      <c r="M583" s="56"/>
      <c r="N583" s="56"/>
      <c r="O583" s="56"/>
      <c r="P583" s="56"/>
      <c r="Q583" s="56"/>
      <c r="R583" s="56"/>
      <c r="S583" s="56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56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  <c r="AW583" s="65"/>
      <c r="AX583" s="65"/>
      <c r="AY583" s="65"/>
      <c r="AZ583" s="65"/>
      <c r="BA583" s="65"/>
      <c r="BB583" s="65"/>
      <c r="BC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56"/>
      <c r="M584" s="56"/>
      <c r="N584" s="56"/>
      <c r="O584" s="56"/>
      <c r="P584" s="56"/>
      <c r="Q584" s="56"/>
      <c r="R584" s="56"/>
      <c r="S584" s="56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56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56"/>
      <c r="M585" s="56"/>
      <c r="N585" s="56"/>
      <c r="O585" s="56"/>
      <c r="P585" s="56"/>
      <c r="Q585" s="56"/>
      <c r="R585" s="56"/>
      <c r="S585" s="56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56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  <c r="AW585" s="65"/>
      <c r="AX585" s="65"/>
      <c r="AY585" s="65"/>
      <c r="AZ585" s="65"/>
      <c r="BA585" s="65"/>
      <c r="BB585" s="65"/>
      <c r="BC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56"/>
      <c r="M586" s="56"/>
      <c r="N586" s="56"/>
      <c r="O586" s="56"/>
      <c r="P586" s="56"/>
      <c r="Q586" s="56"/>
      <c r="R586" s="56"/>
      <c r="S586" s="56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56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  <c r="AW586" s="65"/>
      <c r="AX586" s="65"/>
      <c r="AY586" s="65"/>
      <c r="AZ586" s="65"/>
      <c r="BA586" s="65"/>
      <c r="BB586" s="65"/>
      <c r="BC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56"/>
      <c r="M587" s="56"/>
      <c r="N587" s="56"/>
      <c r="O587" s="56"/>
      <c r="P587" s="56"/>
      <c r="Q587" s="56"/>
      <c r="R587" s="56"/>
      <c r="S587" s="56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56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  <c r="AW587" s="65"/>
      <c r="AX587" s="65"/>
      <c r="AY587" s="65"/>
      <c r="AZ587" s="65"/>
      <c r="BA587" s="65"/>
      <c r="BB587" s="65"/>
      <c r="BC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56"/>
      <c r="M588" s="56"/>
      <c r="N588" s="56"/>
      <c r="O588" s="56"/>
      <c r="P588" s="56"/>
      <c r="Q588" s="56"/>
      <c r="R588" s="56"/>
      <c r="S588" s="56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56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56"/>
      <c r="M589" s="56"/>
      <c r="N589" s="56"/>
      <c r="O589" s="56"/>
      <c r="P589" s="56"/>
      <c r="Q589" s="56"/>
      <c r="R589" s="56"/>
      <c r="S589" s="56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56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56"/>
      <c r="M590" s="56"/>
      <c r="N590" s="56"/>
      <c r="O590" s="56"/>
      <c r="P590" s="56"/>
      <c r="Q590" s="56"/>
      <c r="R590" s="56"/>
      <c r="S590" s="56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56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56"/>
      <c r="M591" s="56"/>
      <c r="N591" s="56"/>
      <c r="O591" s="56"/>
      <c r="P591" s="56"/>
      <c r="Q591" s="56"/>
      <c r="R591" s="56"/>
      <c r="S591" s="56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56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56"/>
      <c r="M592" s="56"/>
      <c r="N592" s="56"/>
      <c r="O592" s="56"/>
      <c r="P592" s="56"/>
      <c r="Q592" s="56"/>
      <c r="R592" s="56"/>
      <c r="S592" s="56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56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56"/>
      <c r="M593" s="56"/>
      <c r="N593" s="56"/>
      <c r="O593" s="56"/>
      <c r="P593" s="56"/>
      <c r="Q593" s="56"/>
      <c r="R593" s="56"/>
      <c r="S593" s="56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56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56"/>
      <c r="M594" s="56"/>
      <c r="N594" s="56"/>
      <c r="O594" s="56"/>
      <c r="P594" s="56"/>
      <c r="Q594" s="56"/>
      <c r="R594" s="56"/>
      <c r="S594" s="56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56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56"/>
      <c r="M595" s="56"/>
      <c r="N595" s="56"/>
      <c r="O595" s="56"/>
      <c r="P595" s="56"/>
      <c r="Q595" s="56"/>
      <c r="R595" s="56"/>
      <c r="S595" s="56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56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56"/>
      <c r="M596" s="56"/>
      <c r="N596" s="56"/>
      <c r="O596" s="56"/>
      <c r="P596" s="56"/>
      <c r="Q596" s="56"/>
      <c r="R596" s="56"/>
      <c r="S596" s="56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56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56"/>
      <c r="M597" s="56"/>
      <c r="N597" s="56"/>
      <c r="O597" s="56"/>
      <c r="P597" s="56"/>
      <c r="Q597" s="56"/>
      <c r="R597" s="56"/>
      <c r="S597" s="56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56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  <c r="AW597" s="65"/>
      <c r="AX597" s="65"/>
      <c r="AY597" s="65"/>
      <c r="AZ597" s="65"/>
      <c r="BA597" s="65"/>
      <c r="BB597" s="65"/>
      <c r="BC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56"/>
      <c r="M598" s="56"/>
      <c r="N598" s="56"/>
      <c r="O598" s="56"/>
      <c r="P598" s="56"/>
      <c r="Q598" s="56"/>
      <c r="R598" s="56"/>
      <c r="S598" s="56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56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56"/>
      <c r="M599" s="56"/>
      <c r="N599" s="56"/>
      <c r="O599" s="56"/>
      <c r="P599" s="56"/>
      <c r="Q599" s="56"/>
      <c r="R599" s="56"/>
      <c r="S599" s="56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56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56"/>
      <c r="M600" s="56"/>
      <c r="N600" s="56"/>
      <c r="O600" s="56"/>
      <c r="P600" s="56"/>
      <c r="Q600" s="56"/>
      <c r="R600" s="56"/>
      <c r="S600" s="56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56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  <c r="AW600" s="65"/>
      <c r="AX600" s="65"/>
      <c r="AY600" s="65"/>
      <c r="AZ600" s="65"/>
      <c r="BA600" s="65"/>
      <c r="BB600" s="65"/>
      <c r="BC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56"/>
      <c r="M601" s="56"/>
      <c r="N601" s="56"/>
      <c r="O601" s="56"/>
      <c r="P601" s="56"/>
      <c r="Q601" s="56"/>
      <c r="R601" s="56"/>
      <c r="S601" s="56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56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  <c r="AW601" s="65"/>
      <c r="AX601" s="65"/>
      <c r="AY601" s="65"/>
      <c r="AZ601" s="65"/>
      <c r="BA601" s="65"/>
      <c r="BB601" s="65"/>
      <c r="BC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56"/>
      <c r="M602" s="56"/>
      <c r="N602" s="56"/>
      <c r="O602" s="56"/>
      <c r="P602" s="56"/>
      <c r="Q602" s="56"/>
      <c r="R602" s="56"/>
      <c r="S602" s="56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56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  <c r="AW602" s="65"/>
      <c r="AX602" s="65"/>
      <c r="AY602" s="65"/>
      <c r="AZ602" s="65"/>
      <c r="BA602" s="65"/>
      <c r="BB602" s="65"/>
      <c r="BC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56"/>
      <c r="M603" s="56"/>
      <c r="N603" s="56"/>
      <c r="O603" s="56"/>
      <c r="P603" s="56"/>
      <c r="Q603" s="56"/>
      <c r="R603" s="56"/>
      <c r="S603" s="56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56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56"/>
      <c r="M604" s="56"/>
      <c r="N604" s="56"/>
      <c r="O604" s="56"/>
      <c r="P604" s="56"/>
      <c r="Q604" s="56"/>
      <c r="R604" s="56"/>
      <c r="S604" s="56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56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56"/>
      <c r="M605" s="56"/>
      <c r="N605" s="56"/>
      <c r="O605" s="56"/>
      <c r="P605" s="56"/>
      <c r="Q605" s="56"/>
      <c r="R605" s="56"/>
      <c r="S605" s="56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56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56"/>
      <c r="M606" s="56"/>
      <c r="N606" s="56"/>
      <c r="O606" s="56"/>
      <c r="P606" s="56"/>
      <c r="Q606" s="56"/>
      <c r="R606" s="56"/>
      <c r="S606" s="56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56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56"/>
      <c r="M607" s="56"/>
      <c r="N607" s="56"/>
      <c r="O607" s="56"/>
      <c r="P607" s="56"/>
      <c r="Q607" s="56"/>
      <c r="R607" s="56"/>
      <c r="S607" s="56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56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56"/>
      <c r="M608" s="56"/>
      <c r="N608" s="56"/>
      <c r="O608" s="56"/>
      <c r="P608" s="56"/>
      <c r="Q608" s="56"/>
      <c r="R608" s="56"/>
      <c r="S608" s="56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56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56"/>
      <c r="M609" s="56"/>
      <c r="N609" s="56"/>
      <c r="O609" s="56"/>
      <c r="P609" s="56"/>
      <c r="Q609" s="56"/>
      <c r="R609" s="56"/>
      <c r="S609" s="56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56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  <c r="AW609" s="65"/>
      <c r="AX609" s="65"/>
      <c r="AY609" s="65"/>
      <c r="AZ609" s="65"/>
      <c r="BA609" s="65"/>
      <c r="BB609" s="65"/>
      <c r="BC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56"/>
      <c r="M610" s="56"/>
      <c r="N610" s="56"/>
      <c r="O610" s="56"/>
      <c r="P610" s="56"/>
      <c r="Q610" s="56"/>
      <c r="R610" s="56"/>
      <c r="S610" s="56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56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  <c r="AW610" s="65"/>
      <c r="AX610" s="65"/>
      <c r="AY610" s="65"/>
      <c r="AZ610" s="65"/>
      <c r="BA610" s="65"/>
      <c r="BB610" s="65"/>
      <c r="BC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56"/>
      <c r="M611" s="56"/>
      <c r="N611" s="56"/>
      <c r="O611" s="56"/>
      <c r="P611" s="56"/>
      <c r="Q611" s="56"/>
      <c r="R611" s="56"/>
      <c r="S611" s="56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56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  <c r="AW611" s="65"/>
      <c r="AX611" s="65"/>
      <c r="AY611" s="65"/>
      <c r="AZ611" s="65"/>
      <c r="BA611" s="65"/>
      <c r="BB611" s="65"/>
      <c r="BC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56"/>
      <c r="M612" s="56"/>
      <c r="N612" s="56"/>
      <c r="O612" s="56"/>
      <c r="P612" s="56"/>
      <c r="Q612" s="56"/>
      <c r="R612" s="56"/>
      <c r="S612" s="56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56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  <c r="AW612" s="65"/>
      <c r="AX612" s="65"/>
      <c r="AY612" s="65"/>
      <c r="AZ612" s="65"/>
      <c r="BA612" s="65"/>
      <c r="BB612" s="65"/>
      <c r="BC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56"/>
      <c r="M613" s="56"/>
      <c r="N613" s="56"/>
      <c r="O613" s="56"/>
      <c r="P613" s="56"/>
      <c r="Q613" s="56"/>
      <c r="R613" s="56"/>
      <c r="S613" s="56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56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56"/>
      <c r="M614" s="56"/>
      <c r="N614" s="56"/>
      <c r="O614" s="56"/>
      <c r="P614" s="56"/>
      <c r="Q614" s="56"/>
      <c r="R614" s="56"/>
      <c r="S614" s="56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56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  <c r="AW614" s="65"/>
      <c r="AX614" s="65"/>
      <c r="AY614" s="65"/>
      <c r="AZ614" s="65"/>
      <c r="BA614" s="65"/>
      <c r="BB614" s="65"/>
      <c r="BC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56"/>
      <c r="M615" s="56"/>
      <c r="N615" s="56"/>
      <c r="O615" s="56"/>
      <c r="P615" s="56"/>
      <c r="Q615" s="56"/>
      <c r="R615" s="56"/>
      <c r="S615" s="56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56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56"/>
      <c r="M616" s="56"/>
      <c r="N616" s="56"/>
      <c r="O616" s="56"/>
      <c r="P616" s="56"/>
      <c r="Q616" s="56"/>
      <c r="R616" s="56"/>
      <c r="S616" s="56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56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56"/>
      <c r="M617" s="56"/>
      <c r="N617" s="56"/>
      <c r="O617" s="56"/>
      <c r="P617" s="56"/>
      <c r="Q617" s="56"/>
      <c r="R617" s="56"/>
      <c r="S617" s="56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56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56"/>
      <c r="M618" s="56"/>
      <c r="N618" s="56"/>
      <c r="O618" s="56"/>
      <c r="P618" s="56"/>
      <c r="Q618" s="56"/>
      <c r="R618" s="56"/>
      <c r="S618" s="56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56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56"/>
      <c r="M619" s="56"/>
      <c r="N619" s="56"/>
      <c r="O619" s="56"/>
      <c r="P619" s="56"/>
      <c r="Q619" s="56"/>
      <c r="R619" s="56"/>
      <c r="S619" s="56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56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56"/>
      <c r="M620" s="56"/>
      <c r="N620" s="56"/>
      <c r="O620" s="56"/>
      <c r="P620" s="56"/>
      <c r="Q620" s="56"/>
      <c r="R620" s="56"/>
      <c r="S620" s="56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56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56"/>
      <c r="M621" s="56"/>
      <c r="N621" s="56"/>
      <c r="O621" s="56"/>
      <c r="P621" s="56"/>
      <c r="Q621" s="56"/>
      <c r="R621" s="56"/>
      <c r="S621" s="56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56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56"/>
      <c r="M622" s="56"/>
      <c r="N622" s="56"/>
      <c r="O622" s="56"/>
      <c r="P622" s="56"/>
      <c r="Q622" s="56"/>
      <c r="R622" s="56"/>
      <c r="S622" s="56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56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56"/>
      <c r="M623" s="56"/>
      <c r="N623" s="56"/>
      <c r="O623" s="56"/>
      <c r="P623" s="56"/>
      <c r="Q623" s="56"/>
      <c r="R623" s="56"/>
      <c r="S623" s="56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56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  <c r="AW623" s="65"/>
      <c r="AX623" s="65"/>
      <c r="AY623" s="65"/>
      <c r="AZ623" s="65"/>
      <c r="BA623" s="65"/>
      <c r="BB623" s="65"/>
      <c r="BC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56"/>
      <c r="M624" s="56"/>
      <c r="N624" s="56"/>
      <c r="O624" s="56"/>
      <c r="P624" s="56"/>
      <c r="Q624" s="56"/>
      <c r="R624" s="56"/>
      <c r="S624" s="56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56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  <c r="AW624" s="65"/>
      <c r="AX624" s="65"/>
      <c r="AY624" s="65"/>
      <c r="AZ624" s="65"/>
      <c r="BA624" s="65"/>
      <c r="BB624" s="65"/>
      <c r="BC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56"/>
      <c r="M625" s="56"/>
      <c r="N625" s="56"/>
      <c r="O625" s="56"/>
      <c r="P625" s="56"/>
      <c r="Q625" s="56"/>
      <c r="R625" s="56"/>
      <c r="S625" s="56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56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  <c r="AW625" s="65"/>
      <c r="AX625" s="65"/>
      <c r="AY625" s="65"/>
      <c r="AZ625" s="65"/>
      <c r="BA625" s="65"/>
      <c r="BB625" s="65"/>
      <c r="BC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56"/>
      <c r="M626" s="56"/>
      <c r="N626" s="56"/>
      <c r="O626" s="56"/>
      <c r="P626" s="56"/>
      <c r="Q626" s="56"/>
      <c r="R626" s="56"/>
      <c r="S626" s="56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56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56"/>
      <c r="M627" s="56"/>
      <c r="N627" s="56"/>
      <c r="O627" s="56"/>
      <c r="P627" s="56"/>
      <c r="Q627" s="56"/>
      <c r="R627" s="56"/>
      <c r="S627" s="56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56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56"/>
      <c r="M628" s="56"/>
      <c r="N628" s="56"/>
      <c r="O628" s="56"/>
      <c r="P628" s="56"/>
      <c r="Q628" s="56"/>
      <c r="R628" s="56"/>
      <c r="S628" s="56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56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  <c r="AW628" s="65"/>
      <c r="AX628" s="65"/>
      <c r="AY628" s="65"/>
      <c r="AZ628" s="65"/>
      <c r="BA628" s="65"/>
      <c r="BB628" s="65"/>
      <c r="BC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56"/>
      <c r="M629" s="56"/>
      <c r="N629" s="56"/>
      <c r="O629" s="56"/>
      <c r="P629" s="56"/>
      <c r="Q629" s="56"/>
      <c r="R629" s="56"/>
      <c r="S629" s="56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56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56"/>
      <c r="M630" s="56"/>
      <c r="N630" s="56"/>
      <c r="O630" s="56"/>
      <c r="P630" s="56"/>
      <c r="Q630" s="56"/>
      <c r="R630" s="56"/>
      <c r="S630" s="56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56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56"/>
      <c r="M631" s="56"/>
      <c r="N631" s="56"/>
      <c r="O631" s="56"/>
      <c r="P631" s="56"/>
      <c r="Q631" s="56"/>
      <c r="R631" s="56"/>
      <c r="S631" s="56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56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56"/>
      <c r="M632" s="56"/>
      <c r="N632" s="56"/>
      <c r="O632" s="56"/>
      <c r="P632" s="56"/>
      <c r="Q632" s="56"/>
      <c r="R632" s="56"/>
      <c r="S632" s="56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56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56"/>
      <c r="M633" s="56"/>
      <c r="N633" s="56"/>
      <c r="O633" s="56"/>
      <c r="P633" s="56"/>
      <c r="Q633" s="56"/>
      <c r="R633" s="56"/>
      <c r="S633" s="56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56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56"/>
      <c r="M634" s="56"/>
      <c r="N634" s="56"/>
      <c r="O634" s="56"/>
      <c r="P634" s="56"/>
      <c r="Q634" s="56"/>
      <c r="R634" s="56"/>
      <c r="S634" s="56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56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56"/>
      <c r="M635" s="56"/>
      <c r="N635" s="56"/>
      <c r="O635" s="56"/>
      <c r="P635" s="56"/>
      <c r="Q635" s="56"/>
      <c r="R635" s="56"/>
      <c r="S635" s="56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56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56"/>
      <c r="M636" s="56"/>
      <c r="N636" s="56"/>
      <c r="O636" s="56"/>
      <c r="P636" s="56"/>
      <c r="Q636" s="56"/>
      <c r="R636" s="56"/>
      <c r="S636" s="56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56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56"/>
      <c r="M637" s="56"/>
      <c r="N637" s="56"/>
      <c r="O637" s="56"/>
      <c r="P637" s="56"/>
      <c r="Q637" s="56"/>
      <c r="R637" s="56"/>
      <c r="S637" s="56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56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56"/>
      <c r="M638" s="56"/>
      <c r="N638" s="56"/>
      <c r="O638" s="56"/>
      <c r="P638" s="56"/>
      <c r="Q638" s="56"/>
      <c r="R638" s="56"/>
      <c r="S638" s="56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56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56"/>
      <c r="M639" s="56"/>
      <c r="N639" s="56"/>
      <c r="O639" s="56"/>
      <c r="P639" s="56"/>
      <c r="Q639" s="56"/>
      <c r="R639" s="56"/>
      <c r="S639" s="56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56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56"/>
      <c r="M640" s="56"/>
      <c r="N640" s="56"/>
      <c r="O640" s="56"/>
      <c r="P640" s="56"/>
      <c r="Q640" s="56"/>
      <c r="R640" s="56"/>
      <c r="S640" s="56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56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56"/>
      <c r="M641" s="56"/>
      <c r="N641" s="56"/>
      <c r="O641" s="56"/>
      <c r="P641" s="56"/>
      <c r="Q641" s="56"/>
      <c r="R641" s="56"/>
      <c r="S641" s="56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56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56"/>
      <c r="M642" s="56"/>
      <c r="N642" s="56"/>
      <c r="O642" s="56"/>
      <c r="P642" s="56"/>
      <c r="Q642" s="56"/>
      <c r="R642" s="56"/>
      <c r="S642" s="56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56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56"/>
      <c r="M643" s="56"/>
      <c r="N643" s="56"/>
      <c r="O643" s="56"/>
      <c r="P643" s="56"/>
      <c r="Q643" s="56"/>
      <c r="R643" s="56"/>
      <c r="S643" s="56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56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56"/>
      <c r="M644" s="56"/>
      <c r="N644" s="56"/>
      <c r="O644" s="56"/>
      <c r="P644" s="56"/>
      <c r="Q644" s="56"/>
      <c r="R644" s="56"/>
      <c r="S644" s="56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56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56"/>
      <c r="M645" s="56"/>
      <c r="N645" s="56"/>
      <c r="O645" s="56"/>
      <c r="P645" s="56"/>
      <c r="Q645" s="56"/>
      <c r="R645" s="56"/>
      <c r="S645" s="56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56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56"/>
      <c r="M646" s="56"/>
      <c r="N646" s="56"/>
      <c r="O646" s="56"/>
      <c r="P646" s="56"/>
      <c r="Q646" s="56"/>
      <c r="R646" s="56"/>
      <c r="S646" s="56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56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56"/>
      <c r="M647" s="56"/>
      <c r="N647" s="56"/>
      <c r="O647" s="56"/>
      <c r="P647" s="56"/>
      <c r="Q647" s="56"/>
      <c r="R647" s="56"/>
      <c r="S647" s="56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56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56"/>
      <c r="M648" s="56"/>
      <c r="N648" s="56"/>
      <c r="O648" s="56"/>
      <c r="P648" s="56"/>
      <c r="Q648" s="56"/>
      <c r="R648" s="56"/>
      <c r="S648" s="56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56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56"/>
      <c r="M649" s="56"/>
      <c r="N649" s="56"/>
      <c r="O649" s="56"/>
      <c r="P649" s="56"/>
      <c r="Q649" s="56"/>
      <c r="R649" s="56"/>
      <c r="S649" s="56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56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56"/>
      <c r="M650" s="56"/>
      <c r="N650" s="56"/>
      <c r="O650" s="56"/>
      <c r="P650" s="56"/>
      <c r="Q650" s="56"/>
      <c r="R650" s="56"/>
      <c r="S650" s="56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56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56"/>
      <c r="M651" s="56"/>
      <c r="N651" s="56"/>
      <c r="O651" s="56"/>
      <c r="P651" s="56"/>
      <c r="Q651" s="56"/>
      <c r="R651" s="56"/>
      <c r="S651" s="56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56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56"/>
      <c r="M652" s="56"/>
      <c r="N652" s="56"/>
      <c r="O652" s="56"/>
      <c r="P652" s="56"/>
      <c r="Q652" s="56"/>
      <c r="R652" s="56"/>
      <c r="S652" s="56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56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56"/>
      <c r="M653" s="56"/>
      <c r="N653" s="56"/>
      <c r="O653" s="56"/>
      <c r="P653" s="56"/>
      <c r="Q653" s="56"/>
      <c r="R653" s="56"/>
      <c r="S653" s="56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56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56"/>
      <c r="M654" s="56"/>
      <c r="N654" s="56"/>
      <c r="O654" s="56"/>
      <c r="P654" s="56"/>
      <c r="Q654" s="56"/>
      <c r="R654" s="56"/>
      <c r="S654" s="56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56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56"/>
      <c r="M655" s="56"/>
      <c r="N655" s="56"/>
      <c r="O655" s="56"/>
      <c r="P655" s="56"/>
      <c r="Q655" s="56"/>
      <c r="R655" s="56"/>
      <c r="S655" s="56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56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56"/>
      <c r="M656" s="56"/>
      <c r="N656" s="56"/>
      <c r="O656" s="56"/>
      <c r="P656" s="56"/>
      <c r="Q656" s="56"/>
      <c r="R656" s="56"/>
      <c r="S656" s="56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56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56"/>
      <c r="M657" s="56"/>
      <c r="N657" s="56"/>
      <c r="O657" s="56"/>
      <c r="P657" s="56"/>
      <c r="Q657" s="56"/>
      <c r="R657" s="56"/>
      <c r="S657" s="56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56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56"/>
      <c r="M658" s="56"/>
      <c r="N658" s="56"/>
      <c r="O658" s="56"/>
      <c r="P658" s="56"/>
      <c r="Q658" s="56"/>
      <c r="R658" s="56"/>
      <c r="S658" s="56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56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56"/>
      <c r="M659" s="56"/>
      <c r="N659" s="56"/>
      <c r="O659" s="56"/>
      <c r="P659" s="56"/>
      <c r="Q659" s="56"/>
      <c r="R659" s="56"/>
      <c r="S659" s="56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56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56"/>
      <c r="M660" s="56"/>
      <c r="N660" s="56"/>
      <c r="O660" s="56"/>
      <c r="P660" s="56"/>
      <c r="Q660" s="56"/>
      <c r="R660" s="56"/>
      <c r="S660" s="56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56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56"/>
      <c r="M661" s="56"/>
      <c r="N661" s="56"/>
      <c r="O661" s="56"/>
      <c r="P661" s="56"/>
      <c r="Q661" s="56"/>
      <c r="R661" s="56"/>
      <c r="S661" s="56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56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56"/>
      <c r="M662" s="56"/>
      <c r="N662" s="56"/>
      <c r="O662" s="56"/>
      <c r="P662" s="56"/>
      <c r="Q662" s="56"/>
      <c r="R662" s="56"/>
      <c r="S662" s="56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56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56"/>
      <c r="M663" s="56"/>
      <c r="N663" s="56"/>
      <c r="O663" s="56"/>
      <c r="P663" s="56"/>
      <c r="Q663" s="56"/>
      <c r="R663" s="56"/>
      <c r="S663" s="56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56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56"/>
      <c r="M664" s="56"/>
      <c r="N664" s="56"/>
      <c r="O664" s="56"/>
      <c r="P664" s="56"/>
      <c r="Q664" s="56"/>
      <c r="R664" s="56"/>
      <c r="S664" s="56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56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56"/>
      <c r="M665" s="56"/>
      <c r="N665" s="56"/>
      <c r="O665" s="56"/>
      <c r="P665" s="56"/>
      <c r="Q665" s="56"/>
      <c r="R665" s="56"/>
      <c r="S665" s="56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56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56"/>
      <c r="M666" s="56"/>
      <c r="N666" s="56"/>
      <c r="O666" s="56"/>
      <c r="P666" s="56"/>
      <c r="Q666" s="56"/>
      <c r="R666" s="56"/>
      <c r="S666" s="56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56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56"/>
      <c r="M667" s="56"/>
      <c r="N667" s="56"/>
      <c r="O667" s="56"/>
      <c r="P667" s="56"/>
      <c r="Q667" s="56"/>
      <c r="R667" s="56"/>
      <c r="S667" s="56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56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56"/>
      <c r="M668" s="56"/>
      <c r="N668" s="56"/>
      <c r="O668" s="56"/>
      <c r="P668" s="56"/>
      <c r="Q668" s="56"/>
      <c r="R668" s="56"/>
      <c r="S668" s="56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56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56"/>
      <c r="M669" s="56"/>
      <c r="N669" s="56"/>
      <c r="O669" s="56"/>
      <c r="P669" s="56"/>
      <c r="Q669" s="56"/>
      <c r="R669" s="56"/>
      <c r="S669" s="56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56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56"/>
      <c r="M670" s="56"/>
      <c r="N670" s="56"/>
      <c r="O670" s="56"/>
      <c r="P670" s="56"/>
      <c r="Q670" s="56"/>
      <c r="R670" s="56"/>
      <c r="S670" s="56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56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56"/>
      <c r="M671" s="56"/>
      <c r="N671" s="56"/>
      <c r="O671" s="56"/>
      <c r="P671" s="56"/>
      <c r="Q671" s="56"/>
      <c r="R671" s="56"/>
      <c r="S671" s="56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56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56"/>
      <c r="M672" s="56"/>
      <c r="N672" s="56"/>
      <c r="O672" s="56"/>
      <c r="P672" s="56"/>
      <c r="Q672" s="56"/>
      <c r="R672" s="56"/>
      <c r="S672" s="56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56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56"/>
      <c r="M673" s="56"/>
      <c r="N673" s="56"/>
      <c r="O673" s="56"/>
      <c r="P673" s="56"/>
      <c r="Q673" s="56"/>
      <c r="R673" s="56"/>
      <c r="S673" s="56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56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56"/>
      <c r="M674" s="56"/>
      <c r="N674" s="56"/>
      <c r="O674" s="56"/>
      <c r="P674" s="56"/>
      <c r="Q674" s="56"/>
      <c r="R674" s="56"/>
      <c r="S674" s="56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56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56"/>
      <c r="M675" s="56"/>
      <c r="N675" s="56"/>
      <c r="O675" s="56"/>
      <c r="P675" s="56"/>
      <c r="Q675" s="56"/>
      <c r="R675" s="56"/>
      <c r="S675" s="56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56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56"/>
      <c r="M676" s="56"/>
      <c r="N676" s="56"/>
      <c r="O676" s="56"/>
      <c r="P676" s="56"/>
      <c r="Q676" s="56"/>
      <c r="R676" s="56"/>
      <c r="S676" s="56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56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56"/>
      <c r="M677" s="56"/>
      <c r="N677" s="56"/>
      <c r="O677" s="56"/>
      <c r="P677" s="56"/>
      <c r="Q677" s="56"/>
      <c r="R677" s="56"/>
      <c r="S677" s="56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56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56"/>
      <c r="M678" s="56"/>
      <c r="N678" s="56"/>
      <c r="O678" s="56"/>
      <c r="P678" s="56"/>
      <c r="Q678" s="56"/>
      <c r="R678" s="56"/>
      <c r="S678" s="56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56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56"/>
      <c r="M679" s="56"/>
      <c r="N679" s="56"/>
      <c r="O679" s="56"/>
      <c r="P679" s="56"/>
      <c r="Q679" s="56"/>
      <c r="R679" s="56"/>
      <c r="S679" s="56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56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56"/>
      <c r="M680" s="56"/>
      <c r="N680" s="56"/>
      <c r="O680" s="56"/>
      <c r="P680" s="56"/>
      <c r="Q680" s="56"/>
      <c r="R680" s="56"/>
      <c r="S680" s="56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56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56"/>
      <c r="M681" s="56"/>
      <c r="N681" s="56"/>
      <c r="O681" s="56"/>
      <c r="P681" s="56"/>
      <c r="Q681" s="56"/>
      <c r="R681" s="56"/>
      <c r="S681" s="56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56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56"/>
      <c r="M682" s="56"/>
      <c r="N682" s="56"/>
      <c r="O682" s="56"/>
      <c r="P682" s="56"/>
      <c r="Q682" s="56"/>
      <c r="R682" s="56"/>
      <c r="S682" s="56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56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56"/>
      <c r="M683" s="56"/>
      <c r="N683" s="56"/>
      <c r="O683" s="56"/>
      <c r="P683" s="56"/>
      <c r="Q683" s="56"/>
      <c r="R683" s="56"/>
      <c r="S683" s="56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56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56"/>
      <c r="M684" s="56"/>
      <c r="N684" s="56"/>
      <c r="O684" s="56"/>
      <c r="P684" s="56"/>
      <c r="Q684" s="56"/>
      <c r="R684" s="56"/>
      <c r="S684" s="56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56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56"/>
      <c r="M685" s="56"/>
      <c r="N685" s="56"/>
      <c r="O685" s="56"/>
      <c r="P685" s="56"/>
      <c r="Q685" s="56"/>
      <c r="R685" s="56"/>
      <c r="S685" s="56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56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56"/>
      <c r="M686" s="56"/>
      <c r="N686" s="56"/>
      <c r="O686" s="56"/>
      <c r="P686" s="56"/>
      <c r="Q686" s="56"/>
      <c r="R686" s="56"/>
      <c r="S686" s="56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56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56"/>
      <c r="M687" s="56"/>
      <c r="N687" s="56"/>
      <c r="O687" s="56"/>
      <c r="P687" s="56"/>
      <c r="Q687" s="56"/>
      <c r="R687" s="56"/>
      <c r="S687" s="56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56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56"/>
      <c r="M688" s="56"/>
      <c r="N688" s="56"/>
      <c r="O688" s="56"/>
      <c r="P688" s="56"/>
      <c r="Q688" s="56"/>
      <c r="R688" s="56"/>
      <c r="S688" s="56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56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56"/>
      <c r="M689" s="56"/>
      <c r="N689" s="56"/>
      <c r="O689" s="56"/>
      <c r="P689" s="56"/>
      <c r="Q689" s="56"/>
      <c r="R689" s="56"/>
      <c r="S689" s="56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56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56"/>
      <c r="M690" s="56"/>
      <c r="N690" s="56"/>
      <c r="O690" s="56"/>
      <c r="P690" s="56"/>
      <c r="Q690" s="56"/>
      <c r="R690" s="56"/>
      <c r="S690" s="56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56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56"/>
      <c r="M691" s="56"/>
      <c r="N691" s="56"/>
      <c r="O691" s="56"/>
      <c r="P691" s="56"/>
      <c r="Q691" s="56"/>
      <c r="R691" s="56"/>
      <c r="S691" s="56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56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56"/>
      <c r="M692" s="56"/>
      <c r="N692" s="56"/>
      <c r="O692" s="56"/>
      <c r="P692" s="56"/>
      <c r="Q692" s="56"/>
      <c r="R692" s="56"/>
      <c r="S692" s="56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56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56"/>
      <c r="M693" s="56"/>
      <c r="N693" s="56"/>
      <c r="O693" s="56"/>
      <c r="P693" s="56"/>
      <c r="Q693" s="56"/>
      <c r="R693" s="56"/>
      <c r="S693" s="56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56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  <c r="AT693" s="65"/>
      <c r="AU693" s="65"/>
      <c r="AV693" s="65"/>
      <c r="AW693" s="65"/>
      <c r="AX693" s="65"/>
      <c r="AY693" s="65"/>
      <c r="AZ693" s="65"/>
      <c r="BA693" s="65"/>
      <c r="BB693" s="65"/>
      <c r="BC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56"/>
      <c r="M694" s="56"/>
      <c r="N694" s="56"/>
      <c r="O694" s="56"/>
      <c r="P694" s="56"/>
      <c r="Q694" s="56"/>
      <c r="R694" s="56"/>
      <c r="S694" s="56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56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5"/>
      <c r="AT694" s="65"/>
      <c r="AU694" s="65"/>
      <c r="AV694" s="65"/>
      <c r="AW694" s="65"/>
      <c r="AX694" s="65"/>
      <c r="AY694" s="65"/>
      <c r="AZ694" s="65"/>
      <c r="BA694" s="65"/>
      <c r="BB694" s="65"/>
      <c r="BC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56"/>
      <c r="M695" s="56"/>
      <c r="N695" s="56"/>
      <c r="O695" s="56"/>
      <c r="P695" s="56"/>
      <c r="Q695" s="56"/>
      <c r="R695" s="56"/>
      <c r="S695" s="56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56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  <c r="AT695" s="65"/>
      <c r="AU695" s="65"/>
      <c r="AV695" s="65"/>
      <c r="AW695" s="65"/>
      <c r="AX695" s="65"/>
      <c r="AY695" s="65"/>
      <c r="AZ695" s="65"/>
      <c r="BA695" s="65"/>
      <c r="BB695" s="65"/>
      <c r="BC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56"/>
      <c r="M696" s="56"/>
      <c r="N696" s="56"/>
      <c r="O696" s="56"/>
      <c r="P696" s="56"/>
      <c r="Q696" s="56"/>
      <c r="R696" s="56"/>
      <c r="S696" s="56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56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  <c r="AV696" s="65"/>
      <c r="AW696" s="65"/>
      <c r="AX696" s="65"/>
      <c r="AY696" s="65"/>
      <c r="AZ696" s="65"/>
      <c r="BA696" s="65"/>
      <c r="BB696" s="65"/>
      <c r="BC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56"/>
      <c r="M697" s="56"/>
      <c r="N697" s="56"/>
      <c r="O697" s="56"/>
      <c r="P697" s="56"/>
      <c r="Q697" s="56"/>
      <c r="R697" s="56"/>
      <c r="S697" s="56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56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56"/>
      <c r="M698" s="56"/>
      <c r="N698" s="56"/>
      <c r="O698" s="56"/>
      <c r="P698" s="56"/>
      <c r="Q698" s="56"/>
      <c r="R698" s="56"/>
      <c r="S698" s="56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56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56"/>
      <c r="M699" s="56"/>
      <c r="N699" s="56"/>
      <c r="O699" s="56"/>
      <c r="P699" s="56"/>
      <c r="Q699" s="56"/>
      <c r="R699" s="56"/>
      <c r="S699" s="56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56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  <c r="AT699" s="65"/>
      <c r="AU699" s="65"/>
      <c r="AV699" s="65"/>
      <c r="AW699" s="65"/>
      <c r="AX699" s="65"/>
      <c r="AY699" s="65"/>
      <c r="AZ699" s="65"/>
      <c r="BA699" s="65"/>
      <c r="BB699" s="65"/>
      <c r="BC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56"/>
      <c r="M700" s="56"/>
      <c r="N700" s="56"/>
      <c r="O700" s="56"/>
      <c r="P700" s="56"/>
      <c r="Q700" s="56"/>
      <c r="R700" s="56"/>
      <c r="S700" s="56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56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5"/>
      <c r="AT700" s="65"/>
      <c r="AU700" s="65"/>
      <c r="AV700" s="65"/>
      <c r="AW700" s="65"/>
      <c r="AX700" s="65"/>
      <c r="AY700" s="65"/>
      <c r="AZ700" s="65"/>
      <c r="BA700" s="65"/>
      <c r="BB700" s="65"/>
      <c r="BC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56"/>
      <c r="M701" s="56"/>
      <c r="N701" s="56"/>
      <c r="O701" s="56"/>
      <c r="P701" s="56"/>
      <c r="Q701" s="56"/>
      <c r="R701" s="56"/>
      <c r="S701" s="56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56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5"/>
      <c r="AT701" s="65"/>
      <c r="AU701" s="65"/>
      <c r="AV701" s="65"/>
      <c r="AW701" s="65"/>
      <c r="AX701" s="65"/>
      <c r="AY701" s="65"/>
      <c r="AZ701" s="65"/>
      <c r="BA701" s="65"/>
      <c r="BB701" s="65"/>
      <c r="BC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56"/>
      <c r="M702" s="56"/>
      <c r="N702" s="56"/>
      <c r="O702" s="56"/>
      <c r="P702" s="56"/>
      <c r="Q702" s="56"/>
      <c r="R702" s="56"/>
      <c r="S702" s="56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56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5"/>
      <c r="AT702" s="65"/>
      <c r="AU702" s="65"/>
      <c r="AV702" s="65"/>
      <c r="AW702" s="65"/>
      <c r="AX702" s="65"/>
      <c r="AY702" s="65"/>
      <c r="AZ702" s="65"/>
      <c r="BA702" s="65"/>
      <c r="BB702" s="65"/>
      <c r="BC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56"/>
      <c r="M703" s="56"/>
      <c r="N703" s="56"/>
      <c r="O703" s="56"/>
      <c r="P703" s="56"/>
      <c r="Q703" s="56"/>
      <c r="R703" s="56"/>
      <c r="S703" s="56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56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5"/>
      <c r="AT703" s="65"/>
      <c r="AU703" s="65"/>
      <c r="AV703" s="65"/>
      <c r="AW703" s="65"/>
      <c r="AX703" s="65"/>
      <c r="AY703" s="65"/>
      <c r="AZ703" s="65"/>
      <c r="BA703" s="65"/>
      <c r="BB703" s="65"/>
      <c r="BC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56"/>
      <c r="M704" s="56"/>
      <c r="N704" s="56"/>
      <c r="O704" s="56"/>
      <c r="P704" s="56"/>
      <c r="Q704" s="56"/>
      <c r="R704" s="56"/>
      <c r="S704" s="56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56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5"/>
      <c r="AT704" s="65"/>
      <c r="AU704" s="65"/>
      <c r="AV704" s="65"/>
      <c r="AW704" s="65"/>
      <c r="AX704" s="65"/>
      <c r="AY704" s="65"/>
      <c r="AZ704" s="65"/>
      <c r="BA704" s="65"/>
      <c r="BB704" s="65"/>
      <c r="BC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56"/>
      <c r="M705" s="56"/>
      <c r="N705" s="56"/>
      <c r="O705" s="56"/>
      <c r="P705" s="56"/>
      <c r="Q705" s="56"/>
      <c r="R705" s="56"/>
      <c r="S705" s="56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56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5"/>
      <c r="AT705" s="65"/>
      <c r="AU705" s="65"/>
      <c r="AV705" s="65"/>
      <c r="AW705" s="65"/>
      <c r="AX705" s="65"/>
      <c r="AY705" s="65"/>
      <c r="AZ705" s="65"/>
      <c r="BA705" s="65"/>
      <c r="BB705" s="65"/>
      <c r="BC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56"/>
      <c r="M706" s="56"/>
      <c r="N706" s="56"/>
      <c r="O706" s="56"/>
      <c r="P706" s="56"/>
      <c r="Q706" s="56"/>
      <c r="R706" s="56"/>
      <c r="S706" s="56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56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  <c r="AT706" s="65"/>
      <c r="AU706" s="65"/>
      <c r="AV706" s="65"/>
      <c r="AW706" s="65"/>
      <c r="AX706" s="65"/>
      <c r="AY706" s="65"/>
      <c r="AZ706" s="65"/>
      <c r="BA706" s="65"/>
      <c r="BB706" s="65"/>
      <c r="BC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56"/>
      <c r="M707" s="56"/>
      <c r="N707" s="56"/>
      <c r="O707" s="56"/>
      <c r="P707" s="56"/>
      <c r="Q707" s="56"/>
      <c r="R707" s="56"/>
      <c r="S707" s="56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56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5"/>
      <c r="AT707" s="65"/>
      <c r="AU707" s="65"/>
      <c r="AV707" s="65"/>
      <c r="AW707" s="65"/>
      <c r="AX707" s="65"/>
      <c r="AY707" s="65"/>
      <c r="AZ707" s="65"/>
      <c r="BA707" s="65"/>
      <c r="BB707" s="65"/>
      <c r="BC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56"/>
      <c r="M708" s="56"/>
      <c r="N708" s="56"/>
      <c r="O708" s="56"/>
      <c r="P708" s="56"/>
      <c r="Q708" s="56"/>
      <c r="R708" s="56"/>
      <c r="S708" s="56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56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  <c r="AT708" s="65"/>
      <c r="AU708" s="65"/>
      <c r="AV708" s="65"/>
      <c r="AW708" s="65"/>
      <c r="AX708" s="65"/>
      <c r="AY708" s="65"/>
      <c r="AZ708" s="65"/>
      <c r="BA708" s="65"/>
      <c r="BB708" s="65"/>
      <c r="BC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56"/>
      <c r="M709" s="56"/>
      <c r="N709" s="56"/>
      <c r="O709" s="56"/>
      <c r="P709" s="56"/>
      <c r="Q709" s="56"/>
      <c r="R709" s="56"/>
      <c r="S709" s="56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56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5"/>
      <c r="AT709" s="65"/>
      <c r="AU709" s="65"/>
      <c r="AV709" s="65"/>
      <c r="AW709" s="65"/>
      <c r="AX709" s="65"/>
      <c r="AY709" s="65"/>
      <c r="AZ709" s="65"/>
      <c r="BA709" s="65"/>
      <c r="BB709" s="65"/>
      <c r="BC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56"/>
      <c r="M710" s="56"/>
      <c r="N710" s="56"/>
      <c r="O710" s="56"/>
      <c r="P710" s="56"/>
      <c r="Q710" s="56"/>
      <c r="R710" s="56"/>
      <c r="S710" s="56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56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56"/>
      <c r="M711" s="56"/>
      <c r="N711" s="56"/>
      <c r="O711" s="56"/>
      <c r="P711" s="56"/>
      <c r="Q711" s="56"/>
      <c r="R711" s="56"/>
      <c r="S711" s="56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56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56"/>
      <c r="M712" s="56"/>
      <c r="N712" s="56"/>
      <c r="O712" s="56"/>
      <c r="P712" s="56"/>
      <c r="Q712" s="56"/>
      <c r="R712" s="56"/>
      <c r="S712" s="56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56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  <c r="AT712" s="65"/>
      <c r="AU712" s="65"/>
      <c r="AV712" s="65"/>
      <c r="AW712" s="65"/>
      <c r="AX712" s="65"/>
      <c r="AY712" s="65"/>
      <c r="AZ712" s="65"/>
      <c r="BA712" s="65"/>
      <c r="BB712" s="65"/>
      <c r="BC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56"/>
      <c r="M713" s="56"/>
      <c r="N713" s="56"/>
      <c r="O713" s="56"/>
      <c r="P713" s="56"/>
      <c r="Q713" s="56"/>
      <c r="R713" s="56"/>
      <c r="S713" s="56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56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5"/>
      <c r="AT713" s="65"/>
      <c r="AU713" s="65"/>
      <c r="AV713" s="65"/>
      <c r="AW713" s="65"/>
      <c r="AX713" s="65"/>
      <c r="AY713" s="65"/>
      <c r="AZ713" s="65"/>
      <c r="BA713" s="65"/>
      <c r="BB713" s="65"/>
      <c r="BC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56"/>
      <c r="M714" s="56"/>
      <c r="N714" s="56"/>
      <c r="O714" s="56"/>
      <c r="P714" s="56"/>
      <c r="Q714" s="56"/>
      <c r="R714" s="56"/>
      <c r="S714" s="56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56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5"/>
      <c r="AT714" s="65"/>
      <c r="AU714" s="65"/>
      <c r="AV714" s="65"/>
      <c r="AW714" s="65"/>
      <c r="AX714" s="65"/>
      <c r="AY714" s="65"/>
      <c r="AZ714" s="65"/>
      <c r="BA714" s="65"/>
      <c r="BB714" s="65"/>
      <c r="BC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56"/>
      <c r="M715" s="56"/>
      <c r="N715" s="56"/>
      <c r="O715" s="56"/>
      <c r="P715" s="56"/>
      <c r="Q715" s="56"/>
      <c r="R715" s="56"/>
      <c r="S715" s="56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56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5"/>
      <c r="AT715" s="65"/>
      <c r="AU715" s="65"/>
      <c r="AV715" s="65"/>
      <c r="AW715" s="65"/>
      <c r="AX715" s="65"/>
      <c r="AY715" s="65"/>
      <c r="AZ715" s="65"/>
      <c r="BA715" s="65"/>
      <c r="BB715" s="65"/>
      <c r="BC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56"/>
      <c r="M716" s="56"/>
      <c r="N716" s="56"/>
      <c r="O716" s="56"/>
      <c r="P716" s="56"/>
      <c r="Q716" s="56"/>
      <c r="R716" s="56"/>
      <c r="S716" s="56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56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5"/>
      <c r="AT716" s="65"/>
      <c r="AU716" s="65"/>
      <c r="AV716" s="65"/>
      <c r="AW716" s="65"/>
      <c r="AX716" s="65"/>
      <c r="AY716" s="65"/>
      <c r="AZ716" s="65"/>
      <c r="BA716" s="65"/>
      <c r="BB716" s="65"/>
      <c r="BC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56"/>
      <c r="M717" s="56"/>
      <c r="N717" s="56"/>
      <c r="O717" s="56"/>
      <c r="P717" s="56"/>
      <c r="Q717" s="56"/>
      <c r="R717" s="56"/>
      <c r="S717" s="56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56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5"/>
      <c r="AT717" s="65"/>
      <c r="AU717" s="65"/>
      <c r="AV717" s="65"/>
      <c r="AW717" s="65"/>
      <c r="AX717" s="65"/>
      <c r="AY717" s="65"/>
      <c r="AZ717" s="65"/>
      <c r="BA717" s="65"/>
      <c r="BB717" s="65"/>
      <c r="BC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56"/>
      <c r="M718" s="56"/>
      <c r="N718" s="56"/>
      <c r="O718" s="56"/>
      <c r="P718" s="56"/>
      <c r="Q718" s="56"/>
      <c r="R718" s="56"/>
      <c r="S718" s="56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56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5"/>
      <c r="AT718" s="65"/>
      <c r="AU718" s="65"/>
      <c r="AV718" s="65"/>
      <c r="AW718" s="65"/>
      <c r="AX718" s="65"/>
      <c r="AY718" s="65"/>
      <c r="AZ718" s="65"/>
      <c r="BA718" s="65"/>
      <c r="BB718" s="65"/>
      <c r="BC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56"/>
      <c r="M719" s="56"/>
      <c r="N719" s="56"/>
      <c r="O719" s="56"/>
      <c r="P719" s="56"/>
      <c r="Q719" s="56"/>
      <c r="R719" s="56"/>
      <c r="S719" s="56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56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  <c r="AV719" s="65"/>
      <c r="AW719" s="65"/>
      <c r="AX719" s="65"/>
      <c r="AY719" s="65"/>
      <c r="AZ719" s="65"/>
      <c r="BA719" s="65"/>
      <c r="BB719" s="65"/>
      <c r="BC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56"/>
      <c r="M720" s="56"/>
      <c r="N720" s="56"/>
      <c r="O720" s="56"/>
      <c r="P720" s="56"/>
      <c r="Q720" s="56"/>
      <c r="R720" s="56"/>
      <c r="S720" s="56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56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  <c r="AV720" s="65"/>
      <c r="AW720" s="65"/>
      <c r="AX720" s="65"/>
      <c r="AY720" s="65"/>
      <c r="AZ720" s="65"/>
      <c r="BA720" s="65"/>
      <c r="BB720" s="65"/>
      <c r="BC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56"/>
      <c r="M721" s="56"/>
      <c r="N721" s="56"/>
      <c r="O721" s="56"/>
      <c r="P721" s="56"/>
      <c r="Q721" s="56"/>
      <c r="R721" s="56"/>
      <c r="S721" s="56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56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5"/>
      <c r="AT721" s="65"/>
      <c r="AU721" s="65"/>
      <c r="AV721" s="65"/>
      <c r="AW721" s="65"/>
      <c r="AX721" s="65"/>
      <c r="AY721" s="65"/>
      <c r="AZ721" s="65"/>
      <c r="BA721" s="65"/>
      <c r="BB721" s="65"/>
      <c r="BC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56"/>
      <c r="M722" s="56"/>
      <c r="N722" s="56"/>
      <c r="O722" s="56"/>
      <c r="P722" s="56"/>
      <c r="Q722" s="56"/>
      <c r="R722" s="56"/>
      <c r="S722" s="56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56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  <c r="AT722" s="65"/>
      <c r="AU722" s="65"/>
      <c r="AV722" s="65"/>
      <c r="AW722" s="65"/>
      <c r="AX722" s="65"/>
      <c r="AY722" s="65"/>
      <c r="AZ722" s="65"/>
      <c r="BA722" s="65"/>
      <c r="BB722" s="65"/>
      <c r="BC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56"/>
      <c r="M723" s="56"/>
      <c r="N723" s="56"/>
      <c r="O723" s="56"/>
      <c r="P723" s="56"/>
      <c r="Q723" s="56"/>
      <c r="R723" s="56"/>
      <c r="S723" s="56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56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65"/>
      <c r="AV723" s="65"/>
      <c r="AW723" s="65"/>
      <c r="AX723" s="65"/>
      <c r="AY723" s="65"/>
      <c r="AZ723" s="65"/>
      <c r="BA723" s="65"/>
      <c r="BB723" s="65"/>
      <c r="BC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56"/>
      <c r="M724" s="56"/>
      <c r="N724" s="56"/>
      <c r="O724" s="56"/>
      <c r="P724" s="56"/>
      <c r="Q724" s="56"/>
      <c r="R724" s="56"/>
      <c r="S724" s="56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56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  <c r="AT724" s="65"/>
      <c r="AU724" s="65"/>
      <c r="AV724" s="65"/>
      <c r="AW724" s="65"/>
      <c r="AX724" s="65"/>
      <c r="AY724" s="65"/>
      <c r="AZ724" s="65"/>
      <c r="BA724" s="65"/>
      <c r="BB724" s="65"/>
      <c r="BC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56"/>
      <c r="M725" s="56"/>
      <c r="N725" s="56"/>
      <c r="O725" s="56"/>
      <c r="P725" s="56"/>
      <c r="Q725" s="56"/>
      <c r="R725" s="56"/>
      <c r="S725" s="56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56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65"/>
      <c r="AV725" s="65"/>
      <c r="AW725" s="65"/>
      <c r="AX725" s="65"/>
      <c r="AY725" s="65"/>
      <c r="AZ725" s="65"/>
      <c r="BA725" s="65"/>
      <c r="BB725" s="65"/>
      <c r="BC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56"/>
      <c r="M726" s="56"/>
      <c r="N726" s="56"/>
      <c r="O726" s="56"/>
      <c r="P726" s="56"/>
      <c r="Q726" s="56"/>
      <c r="R726" s="56"/>
      <c r="S726" s="56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56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  <c r="AT726" s="65"/>
      <c r="AU726" s="65"/>
      <c r="AV726" s="65"/>
      <c r="AW726" s="65"/>
      <c r="AX726" s="65"/>
      <c r="AY726" s="65"/>
      <c r="AZ726" s="65"/>
      <c r="BA726" s="65"/>
      <c r="BB726" s="65"/>
      <c r="BC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56"/>
      <c r="M727" s="56"/>
      <c r="N727" s="56"/>
      <c r="O727" s="56"/>
      <c r="P727" s="56"/>
      <c r="Q727" s="56"/>
      <c r="R727" s="56"/>
      <c r="S727" s="56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56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  <c r="AT727" s="65"/>
      <c r="AU727" s="65"/>
      <c r="AV727" s="65"/>
      <c r="AW727" s="65"/>
      <c r="AX727" s="65"/>
      <c r="AY727" s="65"/>
      <c r="AZ727" s="65"/>
      <c r="BA727" s="65"/>
      <c r="BB727" s="65"/>
      <c r="BC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56"/>
      <c r="M728" s="56"/>
      <c r="N728" s="56"/>
      <c r="O728" s="56"/>
      <c r="P728" s="56"/>
      <c r="Q728" s="56"/>
      <c r="R728" s="56"/>
      <c r="S728" s="56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56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  <c r="AT728" s="65"/>
      <c r="AU728" s="65"/>
      <c r="AV728" s="65"/>
      <c r="AW728" s="65"/>
      <c r="AX728" s="65"/>
      <c r="AY728" s="65"/>
      <c r="AZ728" s="65"/>
      <c r="BA728" s="65"/>
      <c r="BB728" s="65"/>
      <c r="BC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56"/>
      <c r="M729" s="56"/>
      <c r="N729" s="56"/>
      <c r="O729" s="56"/>
      <c r="P729" s="56"/>
      <c r="Q729" s="56"/>
      <c r="R729" s="56"/>
      <c r="S729" s="56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56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56"/>
      <c r="M730" s="56"/>
      <c r="N730" s="56"/>
      <c r="O730" s="56"/>
      <c r="P730" s="56"/>
      <c r="Q730" s="56"/>
      <c r="R730" s="56"/>
      <c r="S730" s="56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56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5"/>
      <c r="AT730" s="65"/>
      <c r="AU730" s="65"/>
      <c r="AV730" s="65"/>
      <c r="AW730" s="65"/>
      <c r="AX730" s="65"/>
      <c r="AY730" s="65"/>
      <c r="AZ730" s="65"/>
      <c r="BA730" s="65"/>
      <c r="BB730" s="65"/>
      <c r="BC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56"/>
      <c r="M731" s="56"/>
      <c r="N731" s="56"/>
      <c r="O731" s="56"/>
      <c r="P731" s="56"/>
      <c r="Q731" s="56"/>
      <c r="R731" s="56"/>
      <c r="S731" s="56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56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5"/>
      <c r="AT731" s="65"/>
      <c r="AU731" s="65"/>
      <c r="AV731" s="65"/>
      <c r="AW731" s="65"/>
      <c r="AX731" s="65"/>
      <c r="AY731" s="65"/>
      <c r="AZ731" s="65"/>
      <c r="BA731" s="65"/>
      <c r="BB731" s="65"/>
      <c r="BC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56"/>
      <c r="M732" s="56"/>
      <c r="N732" s="56"/>
      <c r="O732" s="56"/>
      <c r="P732" s="56"/>
      <c r="Q732" s="56"/>
      <c r="R732" s="56"/>
      <c r="S732" s="56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56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5"/>
      <c r="AT732" s="65"/>
      <c r="AU732" s="65"/>
      <c r="AV732" s="65"/>
      <c r="AW732" s="65"/>
      <c r="AX732" s="65"/>
      <c r="AY732" s="65"/>
      <c r="AZ732" s="65"/>
      <c r="BA732" s="65"/>
      <c r="BB732" s="65"/>
      <c r="BC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56"/>
      <c r="M733" s="56"/>
      <c r="N733" s="56"/>
      <c r="O733" s="56"/>
      <c r="P733" s="56"/>
      <c r="Q733" s="56"/>
      <c r="R733" s="56"/>
      <c r="S733" s="56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56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5"/>
      <c r="AT733" s="65"/>
      <c r="AU733" s="65"/>
      <c r="AV733" s="65"/>
      <c r="AW733" s="65"/>
      <c r="AX733" s="65"/>
      <c r="AY733" s="65"/>
      <c r="AZ733" s="65"/>
      <c r="BA733" s="65"/>
      <c r="BB733" s="65"/>
      <c r="BC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56"/>
      <c r="M734" s="56"/>
      <c r="N734" s="56"/>
      <c r="O734" s="56"/>
      <c r="P734" s="56"/>
      <c r="Q734" s="56"/>
      <c r="R734" s="56"/>
      <c r="S734" s="56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56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5"/>
      <c r="AT734" s="65"/>
      <c r="AU734" s="65"/>
      <c r="AV734" s="65"/>
      <c r="AW734" s="65"/>
      <c r="AX734" s="65"/>
      <c r="AY734" s="65"/>
      <c r="AZ734" s="65"/>
      <c r="BA734" s="65"/>
      <c r="BB734" s="65"/>
      <c r="BC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56"/>
      <c r="M735" s="56"/>
      <c r="N735" s="56"/>
      <c r="O735" s="56"/>
      <c r="P735" s="56"/>
      <c r="Q735" s="56"/>
      <c r="R735" s="56"/>
      <c r="S735" s="56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56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5"/>
      <c r="AT735" s="65"/>
      <c r="AU735" s="65"/>
      <c r="AV735" s="65"/>
      <c r="AW735" s="65"/>
      <c r="AX735" s="65"/>
      <c r="AY735" s="65"/>
      <c r="AZ735" s="65"/>
      <c r="BA735" s="65"/>
      <c r="BB735" s="65"/>
      <c r="BC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56"/>
      <c r="M736" s="56"/>
      <c r="N736" s="56"/>
      <c r="O736" s="56"/>
      <c r="P736" s="56"/>
      <c r="Q736" s="56"/>
      <c r="R736" s="56"/>
      <c r="S736" s="56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56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5"/>
      <c r="AT736" s="65"/>
      <c r="AU736" s="65"/>
      <c r="AV736" s="65"/>
      <c r="AW736" s="65"/>
      <c r="AX736" s="65"/>
      <c r="AY736" s="65"/>
      <c r="AZ736" s="65"/>
      <c r="BA736" s="65"/>
      <c r="BB736" s="65"/>
      <c r="BC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56"/>
      <c r="M737" s="56"/>
      <c r="N737" s="56"/>
      <c r="O737" s="56"/>
      <c r="P737" s="56"/>
      <c r="Q737" s="56"/>
      <c r="R737" s="56"/>
      <c r="S737" s="56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56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5"/>
      <c r="AT737" s="65"/>
      <c r="AU737" s="65"/>
      <c r="AV737" s="65"/>
      <c r="AW737" s="65"/>
      <c r="AX737" s="65"/>
      <c r="AY737" s="65"/>
      <c r="AZ737" s="65"/>
      <c r="BA737" s="65"/>
      <c r="BB737" s="65"/>
      <c r="BC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56"/>
      <c r="M738" s="56"/>
      <c r="N738" s="56"/>
      <c r="O738" s="56"/>
      <c r="P738" s="56"/>
      <c r="Q738" s="56"/>
      <c r="R738" s="56"/>
      <c r="S738" s="56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56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  <c r="AQ738" s="65"/>
      <c r="AR738" s="65"/>
      <c r="AS738" s="65"/>
      <c r="AT738" s="65"/>
      <c r="AU738" s="65"/>
      <c r="AV738" s="65"/>
      <c r="AW738" s="65"/>
      <c r="AX738" s="65"/>
      <c r="AY738" s="65"/>
      <c r="AZ738" s="65"/>
      <c r="BA738" s="65"/>
      <c r="BB738" s="65"/>
      <c r="BC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56"/>
      <c r="M739" s="56"/>
      <c r="N739" s="56"/>
      <c r="O739" s="56"/>
      <c r="P739" s="56"/>
      <c r="Q739" s="56"/>
      <c r="R739" s="56"/>
      <c r="S739" s="56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56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  <c r="AQ739" s="65"/>
      <c r="AR739" s="65"/>
      <c r="AS739" s="65"/>
      <c r="AT739" s="65"/>
      <c r="AU739" s="65"/>
      <c r="AV739" s="65"/>
      <c r="AW739" s="65"/>
      <c r="AX739" s="65"/>
      <c r="AY739" s="65"/>
      <c r="AZ739" s="65"/>
      <c r="BA739" s="65"/>
      <c r="BB739" s="65"/>
      <c r="BC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56"/>
      <c r="M740" s="56"/>
      <c r="N740" s="56"/>
      <c r="O740" s="56"/>
      <c r="P740" s="56"/>
      <c r="Q740" s="56"/>
      <c r="R740" s="56"/>
      <c r="S740" s="56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56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  <c r="AQ740" s="65"/>
      <c r="AR740" s="65"/>
      <c r="AS740" s="65"/>
      <c r="AT740" s="65"/>
      <c r="AU740" s="65"/>
      <c r="AV740" s="65"/>
      <c r="AW740" s="65"/>
      <c r="AX740" s="65"/>
      <c r="AY740" s="65"/>
      <c r="AZ740" s="65"/>
      <c r="BA740" s="65"/>
      <c r="BB740" s="65"/>
      <c r="BC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56"/>
      <c r="M741" s="56"/>
      <c r="N741" s="56"/>
      <c r="O741" s="56"/>
      <c r="P741" s="56"/>
      <c r="Q741" s="56"/>
      <c r="R741" s="56"/>
      <c r="S741" s="56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56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  <c r="AQ741" s="65"/>
      <c r="AR741" s="65"/>
      <c r="AS741" s="65"/>
      <c r="AT741" s="65"/>
      <c r="AU741" s="65"/>
      <c r="AV741" s="65"/>
      <c r="AW741" s="65"/>
      <c r="AX741" s="65"/>
      <c r="AY741" s="65"/>
      <c r="AZ741" s="65"/>
      <c r="BA741" s="65"/>
      <c r="BB741" s="65"/>
      <c r="BC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56"/>
      <c r="M742" s="56"/>
      <c r="N742" s="56"/>
      <c r="O742" s="56"/>
      <c r="P742" s="56"/>
      <c r="Q742" s="56"/>
      <c r="R742" s="56"/>
      <c r="S742" s="56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56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  <c r="AQ742" s="65"/>
      <c r="AR742" s="65"/>
      <c r="AS742" s="65"/>
      <c r="AT742" s="65"/>
      <c r="AU742" s="65"/>
      <c r="AV742" s="65"/>
      <c r="AW742" s="65"/>
      <c r="AX742" s="65"/>
      <c r="AY742" s="65"/>
      <c r="AZ742" s="65"/>
      <c r="BA742" s="65"/>
      <c r="BB742" s="65"/>
      <c r="BC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56"/>
      <c r="M743" s="56"/>
      <c r="N743" s="56"/>
      <c r="O743" s="56"/>
      <c r="P743" s="56"/>
      <c r="Q743" s="56"/>
      <c r="R743" s="56"/>
      <c r="S743" s="56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56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  <c r="AQ743" s="65"/>
      <c r="AR743" s="65"/>
      <c r="AS743" s="65"/>
      <c r="AT743" s="65"/>
      <c r="AU743" s="65"/>
      <c r="AV743" s="65"/>
      <c r="AW743" s="65"/>
      <c r="AX743" s="65"/>
      <c r="AY743" s="65"/>
      <c r="AZ743" s="65"/>
      <c r="BA743" s="65"/>
      <c r="BB743" s="65"/>
      <c r="BC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56"/>
      <c r="M744" s="56"/>
      <c r="N744" s="56"/>
      <c r="O744" s="56"/>
      <c r="P744" s="56"/>
      <c r="Q744" s="56"/>
      <c r="R744" s="56"/>
      <c r="S744" s="56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56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  <c r="AQ744" s="65"/>
      <c r="AR744" s="65"/>
      <c r="AS744" s="65"/>
      <c r="AT744" s="65"/>
      <c r="AU744" s="65"/>
      <c r="AV744" s="65"/>
      <c r="AW744" s="65"/>
      <c r="AX744" s="65"/>
      <c r="AY744" s="65"/>
      <c r="AZ744" s="65"/>
      <c r="BA744" s="65"/>
      <c r="BB744" s="65"/>
      <c r="BC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56"/>
      <c r="M745" s="56"/>
      <c r="N745" s="56"/>
      <c r="O745" s="56"/>
      <c r="P745" s="56"/>
      <c r="Q745" s="56"/>
      <c r="R745" s="56"/>
      <c r="S745" s="56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56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  <c r="AQ745" s="65"/>
      <c r="AR745" s="65"/>
      <c r="AS745" s="65"/>
      <c r="AT745" s="65"/>
      <c r="AU745" s="65"/>
      <c r="AV745" s="65"/>
      <c r="AW745" s="65"/>
      <c r="AX745" s="65"/>
      <c r="AY745" s="65"/>
      <c r="AZ745" s="65"/>
      <c r="BA745" s="65"/>
      <c r="BB745" s="65"/>
      <c r="BC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56"/>
      <c r="M746" s="56"/>
      <c r="N746" s="56"/>
      <c r="O746" s="56"/>
      <c r="P746" s="56"/>
      <c r="Q746" s="56"/>
      <c r="R746" s="56"/>
      <c r="S746" s="56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56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  <c r="AQ746" s="65"/>
      <c r="AR746" s="65"/>
      <c r="AS746" s="65"/>
      <c r="AT746" s="65"/>
      <c r="AU746" s="65"/>
      <c r="AV746" s="65"/>
      <c r="AW746" s="65"/>
      <c r="AX746" s="65"/>
      <c r="AY746" s="65"/>
      <c r="AZ746" s="65"/>
      <c r="BA746" s="65"/>
      <c r="BB746" s="65"/>
      <c r="BC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56"/>
      <c r="M747" s="56"/>
      <c r="N747" s="56"/>
      <c r="O747" s="56"/>
      <c r="P747" s="56"/>
      <c r="Q747" s="56"/>
      <c r="R747" s="56"/>
      <c r="S747" s="56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56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  <c r="AQ747" s="65"/>
      <c r="AR747" s="65"/>
      <c r="AS747" s="65"/>
      <c r="AT747" s="65"/>
      <c r="AU747" s="65"/>
      <c r="AV747" s="65"/>
      <c r="AW747" s="65"/>
      <c r="AX747" s="65"/>
      <c r="AY747" s="65"/>
      <c r="AZ747" s="65"/>
      <c r="BA747" s="65"/>
      <c r="BB747" s="65"/>
      <c r="BC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56"/>
      <c r="M748" s="56"/>
      <c r="N748" s="56"/>
      <c r="O748" s="56"/>
      <c r="P748" s="56"/>
      <c r="Q748" s="56"/>
      <c r="R748" s="56"/>
      <c r="S748" s="56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56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  <c r="AQ748" s="65"/>
      <c r="AR748" s="65"/>
      <c r="AS748" s="65"/>
      <c r="AT748" s="65"/>
      <c r="AU748" s="65"/>
      <c r="AV748" s="65"/>
      <c r="AW748" s="65"/>
      <c r="AX748" s="65"/>
      <c r="AY748" s="65"/>
      <c r="AZ748" s="65"/>
      <c r="BA748" s="65"/>
      <c r="BB748" s="65"/>
      <c r="BC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56"/>
      <c r="M749" s="56"/>
      <c r="N749" s="56"/>
      <c r="O749" s="56"/>
      <c r="P749" s="56"/>
      <c r="Q749" s="56"/>
      <c r="R749" s="56"/>
      <c r="S749" s="56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56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  <c r="AQ749" s="65"/>
      <c r="AR749" s="65"/>
      <c r="AS749" s="65"/>
      <c r="AT749" s="65"/>
      <c r="AU749" s="65"/>
      <c r="AV749" s="65"/>
      <c r="AW749" s="65"/>
      <c r="AX749" s="65"/>
      <c r="AY749" s="65"/>
      <c r="AZ749" s="65"/>
      <c r="BA749" s="65"/>
      <c r="BB749" s="65"/>
      <c r="BC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56"/>
      <c r="M750" s="56"/>
      <c r="N750" s="56"/>
      <c r="O750" s="56"/>
      <c r="P750" s="56"/>
      <c r="Q750" s="56"/>
      <c r="R750" s="56"/>
      <c r="S750" s="56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56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  <c r="AQ750" s="65"/>
      <c r="AR750" s="65"/>
      <c r="AS750" s="65"/>
      <c r="AT750" s="65"/>
      <c r="AU750" s="65"/>
      <c r="AV750" s="65"/>
      <c r="AW750" s="65"/>
      <c r="AX750" s="65"/>
      <c r="AY750" s="65"/>
      <c r="AZ750" s="65"/>
      <c r="BA750" s="65"/>
      <c r="BB750" s="65"/>
      <c r="BC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56"/>
      <c r="M751" s="56"/>
      <c r="N751" s="56"/>
      <c r="O751" s="56"/>
      <c r="P751" s="56"/>
      <c r="Q751" s="56"/>
      <c r="R751" s="56"/>
      <c r="S751" s="56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56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  <c r="AQ751" s="65"/>
      <c r="AR751" s="65"/>
      <c r="AS751" s="65"/>
      <c r="AT751" s="65"/>
      <c r="AU751" s="65"/>
      <c r="AV751" s="65"/>
      <c r="AW751" s="65"/>
      <c r="AX751" s="65"/>
      <c r="AY751" s="65"/>
      <c r="AZ751" s="65"/>
      <c r="BA751" s="65"/>
      <c r="BB751" s="65"/>
      <c r="BC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56"/>
      <c r="M752" s="56"/>
      <c r="N752" s="56"/>
      <c r="O752" s="56"/>
      <c r="P752" s="56"/>
      <c r="Q752" s="56"/>
      <c r="R752" s="56"/>
      <c r="S752" s="56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56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  <c r="AQ752" s="65"/>
      <c r="AR752" s="65"/>
      <c r="AS752" s="65"/>
      <c r="AT752" s="65"/>
      <c r="AU752" s="65"/>
      <c r="AV752" s="65"/>
      <c r="AW752" s="65"/>
      <c r="AX752" s="65"/>
      <c r="AY752" s="65"/>
      <c r="AZ752" s="65"/>
      <c r="BA752" s="65"/>
      <c r="BB752" s="65"/>
      <c r="BC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56"/>
      <c r="M753" s="56"/>
      <c r="N753" s="56"/>
      <c r="O753" s="56"/>
      <c r="P753" s="56"/>
      <c r="Q753" s="56"/>
      <c r="R753" s="56"/>
      <c r="S753" s="56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56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  <c r="AQ753" s="65"/>
      <c r="AR753" s="65"/>
      <c r="AS753" s="65"/>
      <c r="AT753" s="65"/>
      <c r="AU753" s="65"/>
      <c r="AV753" s="65"/>
      <c r="AW753" s="65"/>
      <c r="AX753" s="65"/>
      <c r="AY753" s="65"/>
      <c r="AZ753" s="65"/>
      <c r="BA753" s="65"/>
      <c r="BB753" s="65"/>
      <c r="BC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56"/>
      <c r="M754" s="56"/>
      <c r="N754" s="56"/>
      <c r="O754" s="56"/>
      <c r="P754" s="56"/>
      <c r="Q754" s="56"/>
      <c r="R754" s="56"/>
      <c r="S754" s="56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56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  <c r="AQ754" s="65"/>
      <c r="AR754" s="65"/>
      <c r="AS754" s="65"/>
      <c r="AT754" s="65"/>
      <c r="AU754" s="65"/>
      <c r="AV754" s="65"/>
      <c r="AW754" s="65"/>
      <c r="AX754" s="65"/>
      <c r="AY754" s="65"/>
      <c r="AZ754" s="65"/>
      <c r="BA754" s="65"/>
      <c r="BB754" s="65"/>
      <c r="BC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56"/>
      <c r="M755" s="56"/>
      <c r="N755" s="56"/>
      <c r="O755" s="56"/>
      <c r="P755" s="56"/>
      <c r="Q755" s="56"/>
      <c r="R755" s="56"/>
      <c r="S755" s="56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56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  <c r="AQ755" s="65"/>
      <c r="AR755" s="65"/>
      <c r="AS755" s="65"/>
      <c r="AT755" s="65"/>
      <c r="AU755" s="65"/>
      <c r="AV755" s="65"/>
      <c r="AW755" s="65"/>
      <c r="AX755" s="65"/>
      <c r="AY755" s="65"/>
      <c r="AZ755" s="65"/>
      <c r="BA755" s="65"/>
      <c r="BB755" s="65"/>
      <c r="BC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56"/>
      <c r="M756" s="56"/>
      <c r="N756" s="56"/>
      <c r="O756" s="56"/>
      <c r="P756" s="56"/>
      <c r="Q756" s="56"/>
      <c r="R756" s="56"/>
      <c r="S756" s="56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56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  <c r="AQ756" s="65"/>
      <c r="AR756" s="65"/>
      <c r="AS756" s="65"/>
      <c r="AT756" s="65"/>
      <c r="AU756" s="65"/>
      <c r="AV756" s="65"/>
      <c r="AW756" s="65"/>
      <c r="AX756" s="65"/>
      <c r="AY756" s="65"/>
      <c r="AZ756" s="65"/>
      <c r="BA756" s="65"/>
      <c r="BB756" s="65"/>
      <c r="BC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56"/>
      <c r="M757" s="56"/>
      <c r="N757" s="56"/>
      <c r="O757" s="56"/>
      <c r="P757" s="56"/>
      <c r="Q757" s="56"/>
      <c r="R757" s="56"/>
      <c r="S757" s="56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56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  <c r="AQ757" s="65"/>
      <c r="AR757" s="65"/>
      <c r="AS757" s="65"/>
      <c r="AT757" s="65"/>
      <c r="AU757" s="65"/>
      <c r="AV757" s="65"/>
      <c r="AW757" s="65"/>
      <c r="AX757" s="65"/>
      <c r="AY757" s="65"/>
      <c r="AZ757" s="65"/>
      <c r="BA757" s="65"/>
      <c r="BB757" s="65"/>
      <c r="BC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56"/>
      <c r="M758" s="56"/>
      <c r="N758" s="56"/>
      <c r="O758" s="56"/>
      <c r="P758" s="56"/>
      <c r="Q758" s="56"/>
      <c r="R758" s="56"/>
      <c r="S758" s="56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56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  <c r="AQ758" s="65"/>
      <c r="AR758" s="65"/>
      <c r="AS758" s="65"/>
      <c r="AT758" s="65"/>
      <c r="AU758" s="65"/>
      <c r="AV758" s="65"/>
      <c r="AW758" s="65"/>
      <c r="AX758" s="65"/>
      <c r="AY758" s="65"/>
      <c r="AZ758" s="65"/>
      <c r="BA758" s="65"/>
      <c r="BB758" s="65"/>
      <c r="BC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56"/>
      <c r="M759" s="56"/>
      <c r="N759" s="56"/>
      <c r="O759" s="56"/>
      <c r="P759" s="56"/>
      <c r="Q759" s="56"/>
      <c r="R759" s="56"/>
      <c r="S759" s="56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56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  <c r="AQ759" s="65"/>
      <c r="AR759" s="65"/>
      <c r="AS759" s="65"/>
      <c r="AT759" s="65"/>
      <c r="AU759" s="65"/>
      <c r="AV759" s="65"/>
      <c r="AW759" s="65"/>
      <c r="AX759" s="65"/>
      <c r="AY759" s="65"/>
      <c r="AZ759" s="65"/>
      <c r="BA759" s="65"/>
      <c r="BB759" s="65"/>
      <c r="BC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56"/>
      <c r="M760" s="56"/>
      <c r="N760" s="56"/>
      <c r="O760" s="56"/>
      <c r="P760" s="56"/>
      <c r="Q760" s="56"/>
      <c r="R760" s="56"/>
      <c r="S760" s="56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56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  <c r="AQ760" s="65"/>
      <c r="AR760" s="65"/>
      <c r="AS760" s="65"/>
      <c r="AT760" s="65"/>
      <c r="AU760" s="65"/>
      <c r="AV760" s="65"/>
      <c r="AW760" s="65"/>
      <c r="AX760" s="65"/>
      <c r="AY760" s="65"/>
      <c r="AZ760" s="65"/>
      <c r="BA760" s="65"/>
      <c r="BB760" s="65"/>
      <c r="BC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56"/>
      <c r="M761" s="56"/>
      <c r="N761" s="56"/>
      <c r="O761" s="56"/>
      <c r="P761" s="56"/>
      <c r="Q761" s="56"/>
      <c r="R761" s="56"/>
      <c r="S761" s="56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56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  <c r="AQ761" s="65"/>
      <c r="AR761" s="65"/>
      <c r="AS761" s="65"/>
      <c r="AT761" s="65"/>
      <c r="AU761" s="65"/>
      <c r="AV761" s="65"/>
      <c r="AW761" s="65"/>
      <c r="AX761" s="65"/>
      <c r="AY761" s="65"/>
      <c r="AZ761" s="65"/>
      <c r="BA761" s="65"/>
      <c r="BB761" s="65"/>
      <c r="BC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56"/>
      <c r="M762" s="56"/>
      <c r="N762" s="56"/>
      <c r="O762" s="56"/>
      <c r="P762" s="56"/>
      <c r="Q762" s="56"/>
      <c r="R762" s="56"/>
      <c r="S762" s="56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56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  <c r="AQ762" s="65"/>
      <c r="AR762" s="65"/>
      <c r="AS762" s="65"/>
      <c r="AT762" s="65"/>
      <c r="AU762" s="65"/>
      <c r="AV762" s="65"/>
      <c r="AW762" s="65"/>
      <c r="AX762" s="65"/>
      <c r="AY762" s="65"/>
      <c r="AZ762" s="65"/>
      <c r="BA762" s="65"/>
      <c r="BB762" s="65"/>
      <c r="BC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56"/>
      <c r="M763" s="56"/>
      <c r="N763" s="56"/>
      <c r="O763" s="56"/>
      <c r="P763" s="56"/>
      <c r="Q763" s="56"/>
      <c r="R763" s="56"/>
      <c r="S763" s="56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56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  <c r="AQ763" s="65"/>
      <c r="AR763" s="65"/>
      <c r="AS763" s="65"/>
      <c r="AT763" s="65"/>
      <c r="AU763" s="65"/>
      <c r="AV763" s="65"/>
      <c r="AW763" s="65"/>
      <c r="AX763" s="65"/>
      <c r="AY763" s="65"/>
      <c r="AZ763" s="65"/>
      <c r="BA763" s="65"/>
      <c r="BB763" s="65"/>
      <c r="BC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56"/>
      <c r="M764" s="56"/>
      <c r="N764" s="56"/>
      <c r="O764" s="56"/>
      <c r="P764" s="56"/>
      <c r="Q764" s="56"/>
      <c r="R764" s="56"/>
      <c r="S764" s="56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56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  <c r="AQ764" s="65"/>
      <c r="AR764" s="65"/>
      <c r="AS764" s="65"/>
      <c r="AT764" s="65"/>
      <c r="AU764" s="65"/>
      <c r="AV764" s="65"/>
      <c r="AW764" s="65"/>
      <c r="AX764" s="65"/>
      <c r="AY764" s="65"/>
      <c r="AZ764" s="65"/>
      <c r="BA764" s="65"/>
      <c r="BB764" s="65"/>
      <c r="BC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56"/>
      <c r="M765" s="56"/>
      <c r="N765" s="56"/>
      <c r="O765" s="56"/>
      <c r="P765" s="56"/>
      <c r="Q765" s="56"/>
      <c r="R765" s="56"/>
      <c r="S765" s="56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56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  <c r="AQ765" s="65"/>
      <c r="AR765" s="65"/>
      <c r="AS765" s="65"/>
      <c r="AT765" s="65"/>
      <c r="AU765" s="65"/>
      <c r="AV765" s="65"/>
      <c r="AW765" s="65"/>
      <c r="AX765" s="65"/>
      <c r="AY765" s="65"/>
      <c r="AZ765" s="65"/>
      <c r="BA765" s="65"/>
      <c r="BB765" s="65"/>
      <c r="BC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56"/>
      <c r="M766" s="56"/>
      <c r="N766" s="56"/>
      <c r="O766" s="56"/>
      <c r="P766" s="56"/>
      <c r="Q766" s="56"/>
      <c r="R766" s="56"/>
      <c r="S766" s="56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56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  <c r="AQ766" s="65"/>
      <c r="AR766" s="65"/>
      <c r="AS766" s="65"/>
      <c r="AT766" s="65"/>
      <c r="AU766" s="65"/>
      <c r="AV766" s="65"/>
      <c r="AW766" s="65"/>
      <c r="AX766" s="65"/>
      <c r="AY766" s="65"/>
      <c r="AZ766" s="65"/>
      <c r="BA766" s="65"/>
      <c r="BB766" s="65"/>
      <c r="BC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56"/>
      <c r="M767" s="56"/>
      <c r="N767" s="56"/>
      <c r="O767" s="56"/>
      <c r="P767" s="56"/>
      <c r="Q767" s="56"/>
      <c r="R767" s="56"/>
      <c r="S767" s="56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56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  <c r="AQ767" s="65"/>
      <c r="AR767" s="65"/>
      <c r="AS767" s="65"/>
      <c r="AT767" s="65"/>
      <c r="AU767" s="65"/>
      <c r="AV767" s="65"/>
      <c r="AW767" s="65"/>
      <c r="AX767" s="65"/>
      <c r="AY767" s="65"/>
      <c r="AZ767" s="65"/>
      <c r="BA767" s="65"/>
      <c r="BB767" s="65"/>
      <c r="BC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56"/>
      <c r="M768" s="56"/>
      <c r="N768" s="56"/>
      <c r="O768" s="56"/>
      <c r="P768" s="56"/>
      <c r="Q768" s="56"/>
      <c r="R768" s="56"/>
      <c r="S768" s="56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56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  <c r="AQ768" s="65"/>
      <c r="AR768" s="65"/>
      <c r="AS768" s="65"/>
      <c r="AT768" s="65"/>
      <c r="AU768" s="65"/>
      <c r="AV768" s="65"/>
      <c r="AW768" s="65"/>
      <c r="AX768" s="65"/>
      <c r="AY768" s="65"/>
      <c r="AZ768" s="65"/>
      <c r="BA768" s="65"/>
      <c r="BB768" s="65"/>
      <c r="BC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56"/>
      <c r="M769" s="56"/>
      <c r="N769" s="56"/>
      <c r="O769" s="56"/>
      <c r="P769" s="56"/>
      <c r="Q769" s="56"/>
      <c r="R769" s="56"/>
      <c r="S769" s="56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56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  <c r="AQ769" s="65"/>
      <c r="AR769" s="65"/>
      <c r="AS769" s="65"/>
      <c r="AT769" s="65"/>
      <c r="AU769" s="65"/>
      <c r="AV769" s="65"/>
      <c r="AW769" s="65"/>
      <c r="AX769" s="65"/>
      <c r="AY769" s="65"/>
      <c r="AZ769" s="65"/>
      <c r="BA769" s="65"/>
      <c r="BB769" s="65"/>
      <c r="BC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56"/>
      <c r="M770" s="56"/>
      <c r="N770" s="56"/>
      <c r="O770" s="56"/>
      <c r="P770" s="56"/>
      <c r="Q770" s="56"/>
      <c r="R770" s="56"/>
      <c r="S770" s="56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56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  <c r="AQ770" s="65"/>
      <c r="AR770" s="65"/>
      <c r="AS770" s="65"/>
      <c r="AT770" s="65"/>
      <c r="AU770" s="65"/>
      <c r="AV770" s="65"/>
      <c r="AW770" s="65"/>
      <c r="AX770" s="65"/>
      <c r="AY770" s="65"/>
      <c r="AZ770" s="65"/>
      <c r="BA770" s="65"/>
      <c r="BB770" s="65"/>
      <c r="BC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56"/>
      <c r="M771" s="56"/>
      <c r="N771" s="56"/>
      <c r="O771" s="56"/>
      <c r="P771" s="56"/>
      <c r="Q771" s="56"/>
      <c r="R771" s="56"/>
      <c r="S771" s="56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56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  <c r="AQ771" s="65"/>
      <c r="AR771" s="65"/>
      <c r="AS771" s="65"/>
      <c r="AT771" s="65"/>
      <c r="AU771" s="65"/>
      <c r="AV771" s="65"/>
      <c r="AW771" s="65"/>
      <c r="AX771" s="65"/>
      <c r="AY771" s="65"/>
      <c r="AZ771" s="65"/>
      <c r="BA771" s="65"/>
      <c r="BB771" s="65"/>
      <c r="BC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56"/>
      <c r="M772" s="56"/>
      <c r="N772" s="56"/>
      <c r="O772" s="56"/>
      <c r="P772" s="56"/>
      <c r="Q772" s="56"/>
      <c r="R772" s="56"/>
      <c r="S772" s="56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56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  <c r="AQ772" s="65"/>
      <c r="AR772" s="65"/>
      <c r="AS772" s="65"/>
      <c r="AT772" s="65"/>
      <c r="AU772" s="65"/>
      <c r="AV772" s="65"/>
      <c r="AW772" s="65"/>
      <c r="AX772" s="65"/>
      <c r="AY772" s="65"/>
      <c r="AZ772" s="65"/>
      <c r="BA772" s="65"/>
      <c r="BB772" s="65"/>
      <c r="BC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56"/>
      <c r="M773" s="56"/>
      <c r="N773" s="56"/>
      <c r="O773" s="56"/>
      <c r="P773" s="56"/>
      <c r="Q773" s="56"/>
      <c r="R773" s="56"/>
      <c r="S773" s="56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56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  <c r="AQ773" s="65"/>
      <c r="AR773" s="65"/>
      <c r="AS773" s="65"/>
      <c r="AT773" s="65"/>
      <c r="AU773" s="65"/>
      <c r="AV773" s="65"/>
      <c r="AW773" s="65"/>
      <c r="AX773" s="65"/>
      <c r="AY773" s="65"/>
      <c r="AZ773" s="65"/>
      <c r="BA773" s="65"/>
      <c r="BB773" s="65"/>
      <c r="BC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56"/>
      <c r="M774" s="56"/>
      <c r="N774" s="56"/>
      <c r="O774" s="56"/>
      <c r="P774" s="56"/>
      <c r="Q774" s="56"/>
      <c r="R774" s="56"/>
      <c r="S774" s="56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56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  <c r="AQ774" s="65"/>
      <c r="AR774" s="65"/>
      <c r="AS774" s="65"/>
      <c r="AT774" s="65"/>
      <c r="AU774" s="65"/>
      <c r="AV774" s="65"/>
      <c r="AW774" s="65"/>
      <c r="AX774" s="65"/>
      <c r="AY774" s="65"/>
      <c r="AZ774" s="65"/>
      <c r="BA774" s="65"/>
      <c r="BB774" s="65"/>
      <c r="BC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56"/>
      <c r="M775" s="56"/>
      <c r="N775" s="56"/>
      <c r="O775" s="56"/>
      <c r="P775" s="56"/>
      <c r="Q775" s="56"/>
      <c r="R775" s="56"/>
      <c r="S775" s="56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56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  <c r="AQ775" s="65"/>
      <c r="AR775" s="65"/>
      <c r="AS775" s="65"/>
      <c r="AT775" s="65"/>
      <c r="AU775" s="65"/>
      <c r="AV775" s="65"/>
      <c r="AW775" s="65"/>
      <c r="AX775" s="65"/>
      <c r="AY775" s="65"/>
      <c r="AZ775" s="65"/>
      <c r="BA775" s="65"/>
      <c r="BB775" s="65"/>
      <c r="BC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56"/>
      <c r="M776" s="56"/>
      <c r="N776" s="56"/>
      <c r="O776" s="56"/>
      <c r="P776" s="56"/>
      <c r="Q776" s="56"/>
      <c r="R776" s="56"/>
      <c r="S776" s="56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56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  <c r="AQ776" s="65"/>
      <c r="AR776" s="65"/>
      <c r="AS776" s="65"/>
      <c r="AT776" s="65"/>
      <c r="AU776" s="65"/>
      <c r="AV776" s="65"/>
      <c r="AW776" s="65"/>
      <c r="AX776" s="65"/>
      <c r="AY776" s="65"/>
      <c r="AZ776" s="65"/>
      <c r="BA776" s="65"/>
      <c r="BB776" s="65"/>
      <c r="BC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56"/>
      <c r="M777" s="56"/>
      <c r="N777" s="56"/>
      <c r="O777" s="56"/>
      <c r="P777" s="56"/>
      <c r="Q777" s="56"/>
      <c r="R777" s="56"/>
      <c r="S777" s="56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56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  <c r="AQ777" s="65"/>
      <c r="AR777" s="65"/>
      <c r="AS777" s="65"/>
      <c r="AT777" s="65"/>
      <c r="AU777" s="65"/>
      <c r="AV777" s="65"/>
      <c r="AW777" s="65"/>
      <c r="AX777" s="65"/>
      <c r="AY777" s="65"/>
      <c r="AZ777" s="65"/>
      <c r="BA777" s="65"/>
      <c r="BB777" s="65"/>
      <c r="BC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56"/>
      <c r="M778" s="56"/>
      <c r="N778" s="56"/>
      <c r="O778" s="56"/>
      <c r="P778" s="56"/>
      <c r="Q778" s="56"/>
      <c r="R778" s="56"/>
      <c r="S778" s="56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56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  <c r="AQ778" s="65"/>
      <c r="AR778" s="65"/>
      <c r="AS778" s="65"/>
      <c r="AT778" s="65"/>
      <c r="AU778" s="65"/>
      <c r="AV778" s="65"/>
      <c r="AW778" s="65"/>
      <c r="AX778" s="65"/>
      <c r="AY778" s="65"/>
      <c r="AZ778" s="65"/>
      <c r="BA778" s="65"/>
      <c r="BB778" s="65"/>
      <c r="BC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56"/>
      <c r="M779" s="56"/>
      <c r="N779" s="56"/>
      <c r="O779" s="56"/>
      <c r="P779" s="56"/>
      <c r="Q779" s="56"/>
      <c r="R779" s="56"/>
      <c r="S779" s="56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56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  <c r="AQ779" s="65"/>
      <c r="AR779" s="65"/>
      <c r="AS779" s="65"/>
      <c r="AT779" s="65"/>
      <c r="AU779" s="65"/>
      <c r="AV779" s="65"/>
      <c r="AW779" s="65"/>
      <c r="AX779" s="65"/>
      <c r="AY779" s="65"/>
      <c r="AZ779" s="65"/>
      <c r="BA779" s="65"/>
      <c r="BB779" s="65"/>
      <c r="BC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56"/>
      <c r="M780" s="56"/>
      <c r="N780" s="56"/>
      <c r="O780" s="56"/>
      <c r="P780" s="56"/>
      <c r="Q780" s="56"/>
      <c r="R780" s="56"/>
      <c r="S780" s="56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56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  <c r="AQ780" s="65"/>
      <c r="AR780" s="65"/>
      <c r="AS780" s="65"/>
      <c r="AT780" s="65"/>
      <c r="AU780" s="65"/>
      <c r="AV780" s="65"/>
      <c r="AW780" s="65"/>
      <c r="AX780" s="65"/>
      <c r="AY780" s="65"/>
      <c r="AZ780" s="65"/>
      <c r="BA780" s="65"/>
      <c r="BB780" s="65"/>
      <c r="BC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56"/>
      <c r="M781" s="56"/>
      <c r="N781" s="56"/>
      <c r="O781" s="56"/>
      <c r="P781" s="56"/>
      <c r="Q781" s="56"/>
      <c r="R781" s="56"/>
      <c r="S781" s="56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56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  <c r="AQ781" s="65"/>
      <c r="AR781" s="65"/>
      <c r="AS781" s="65"/>
      <c r="AT781" s="65"/>
      <c r="AU781" s="65"/>
      <c r="AV781" s="65"/>
      <c r="AW781" s="65"/>
      <c r="AX781" s="65"/>
      <c r="AY781" s="65"/>
      <c r="AZ781" s="65"/>
      <c r="BA781" s="65"/>
      <c r="BB781" s="65"/>
      <c r="BC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56"/>
      <c r="M782" s="56"/>
      <c r="N782" s="56"/>
      <c r="O782" s="56"/>
      <c r="P782" s="56"/>
      <c r="Q782" s="56"/>
      <c r="R782" s="56"/>
      <c r="S782" s="56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56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  <c r="AQ782" s="65"/>
      <c r="AR782" s="65"/>
      <c r="AS782" s="65"/>
      <c r="AT782" s="65"/>
      <c r="AU782" s="65"/>
      <c r="AV782" s="65"/>
      <c r="AW782" s="65"/>
      <c r="AX782" s="65"/>
      <c r="AY782" s="65"/>
      <c r="AZ782" s="65"/>
      <c r="BA782" s="65"/>
      <c r="BB782" s="65"/>
      <c r="BC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56"/>
      <c r="M783" s="56"/>
      <c r="N783" s="56"/>
      <c r="O783" s="56"/>
      <c r="P783" s="56"/>
      <c r="Q783" s="56"/>
      <c r="R783" s="56"/>
      <c r="S783" s="56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56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  <c r="AQ783" s="65"/>
      <c r="AR783" s="65"/>
      <c r="AS783" s="65"/>
      <c r="AT783" s="65"/>
      <c r="AU783" s="65"/>
      <c r="AV783" s="65"/>
      <c r="AW783" s="65"/>
      <c r="AX783" s="65"/>
      <c r="AY783" s="65"/>
      <c r="AZ783" s="65"/>
      <c r="BA783" s="65"/>
      <c r="BB783" s="65"/>
      <c r="BC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56"/>
      <c r="M784" s="56"/>
      <c r="N784" s="56"/>
      <c r="O784" s="56"/>
      <c r="P784" s="56"/>
      <c r="Q784" s="56"/>
      <c r="R784" s="56"/>
      <c r="S784" s="56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56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  <c r="AQ784" s="65"/>
      <c r="AR784" s="65"/>
      <c r="AS784" s="65"/>
      <c r="AT784" s="65"/>
      <c r="AU784" s="65"/>
      <c r="AV784" s="65"/>
      <c r="AW784" s="65"/>
      <c r="AX784" s="65"/>
      <c r="AY784" s="65"/>
      <c r="AZ784" s="65"/>
      <c r="BA784" s="65"/>
      <c r="BB784" s="65"/>
      <c r="BC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56"/>
      <c r="M785" s="56"/>
      <c r="N785" s="56"/>
      <c r="O785" s="56"/>
      <c r="P785" s="56"/>
      <c r="Q785" s="56"/>
      <c r="R785" s="56"/>
      <c r="S785" s="56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56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  <c r="AQ785" s="65"/>
      <c r="AR785" s="65"/>
      <c r="AS785" s="65"/>
      <c r="AT785" s="65"/>
      <c r="AU785" s="65"/>
      <c r="AV785" s="65"/>
      <c r="AW785" s="65"/>
      <c r="AX785" s="65"/>
      <c r="AY785" s="65"/>
      <c r="AZ785" s="65"/>
      <c r="BA785" s="65"/>
      <c r="BB785" s="65"/>
      <c r="BC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56"/>
      <c r="M786" s="56"/>
      <c r="N786" s="56"/>
      <c r="O786" s="56"/>
      <c r="P786" s="56"/>
      <c r="Q786" s="56"/>
      <c r="R786" s="56"/>
      <c r="S786" s="56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56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  <c r="AQ786" s="65"/>
      <c r="AR786" s="65"/>
      <c r="AS786" s="65"/>
      <c r="AT786" s="65"/>
      <c r="AU786" s="65"/>
      <c r="AV786" s="65"/>
      <c r="AW786" s="65"/>
      <c r="AX786" s="65"/>
      <c r="AY786" s="65"/>
      <c r="AZ786" s="65"/>
      <c r="BA786" s="65"/>
      <c r="BB786" s="65"/>
      <c r="BC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56"/>
      <c r="M787" s="56"/>
      <c r="N787" s="56"/>
      <c r="O787" s="56"/>
      <c r="P787" s="56"/>
      <c r="Q787" s="56"/>
      <c r="R787" s="56"/>
      <c r="S787" s="56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56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  <c r="AQ787" s="65"/>
      <c r="AR787" s="65"/>
      <c r="AS787" s="65"/>
      <c r="AT787" s="65"/>
      <c r="AU787" s="65"/>
      <c r="AV787" s="65"/>
      <c r="AW787" s="65"/>
      <c r="AX787" s="65"/>
      <c r="AY787" s="65"/>
      <c r="AZ787" s="65"/>
      <c r="BA787" s="65"/>
      <c r="BB787" s="65"/>
      <c r="BC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56"/>
      <c r="M788" s="56"/>
      <c r="N788" s="56"/>
      <c r="O788" s="56"/>
      <c r="P788" s="56"/>
      <c r="Q788" s="56"/>
      <c r="R788" s="56"/>
      <c r="S788" s="56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56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  <c r="AQ788" s="65"/>
      <c r="AR788" s="65"/>
      <c r="AS788" s="65"/>
      <c r="AT788" s="65"/>
      <c r="AU788" s="65"/>
      <c r="AV788" s="65"/>
      <c r="AW788" s="65"/>
      <c r="AX788" s="65"/>
      <c r="AY788" s="65"/>
      <c r="AZ788" s="65"/>
      <c r="BA788" s="65"/>
      <c r="BB788" s="65"/>
      <c r="BC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56"/>
      <c r="M789" s="56"/>
      <c r="N789" s="56"/>
      <c r="O789" s="56"/>
      <c r="P789" s="56"/>
      <c r="Q789" s="56"/>
      <c r="R789" s="56"/>
      <c r="S789" s="56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56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  <c r="AQ789" s="65"/>
      <c r="AR789" s="65"/>
      <c r="AS789" s="65"/>
      <c r="AT789" s="65"/>
      <c r="AU789" s="65"/>
      <c r="AV789" s="65"/>
      <c r="AW789" s="65"/>
      <c r="AX789" s="65"/>
      <c r="AY789" s="65"/>
      <c r="AZ789" s="65"/>
      <c r="BA789" s="65"/>
      <c r="BB789" s="65"/>
      <c r="BC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56"/>
      <c r="M790" s="56"/>
      <c r="N790" s="56"/>
      <c r="O790" s="56"/>
      <c r="P790" s="56"/>
      <c r="Q790" s="56"/>
      <c r="R790" s="56"/>
      <c r="S790" s="56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56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  <c r="AQ790" s="65"/>
      <c r="AR790" s="65"/>
      <c r="AS790" s="65"/>
      <c r="AT790" s="65"/>
      <c r="AU790" s="65"/>
      <c r="AV790" s="65"/>
      <c r="AW790" s="65"/>
      <c r="AX790" s="65"/>
      <c r="AY790" s="65"/>
      <c r="AZ790" s="65"/>
      <c r="BA790" s="65"/>
      <c r="BB790" s="65"/>
      <c r="BC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56"/>
      <c r="M791" s="56"/>
      <c r="N791" s="56"/>
      <c r="O791" s="56"/>
      <c r="P791" s="56"/>
      <c r="Q791" s="56"/>
      <c r="R791" s="56"/>
      <c r="S791" s="56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56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  <c r="AQ791" s="65"/>
      <c r="AR791" s="65"/>
      <c r="AS791" s="65"/>
      <c r="AT791" s="65"/>
      <c r="AU791" s="65"/>
      <c r="AV791" s="65"/>
      <c r="AW791" s="65"/>
      <c r="AX791" s="65"/>
      <c r="AY791" s="65"/>
      <c r="AZ791" s="65"/>
      <c r="BA791" s="65"/>
      <c r="BB791" s="65"/>
      <c r="BC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56"/>
      <c r="M792" s="56"/>
      <c r="N792" s="56"/>
      <c r="O792" s="56"/>
      <c r="P792" s="56"/>
      <c r="Q792" s="56"/>
      <c r="R792" s="56"/>
      <c r="S792" s="56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56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  <c r="AQ792" s="65"/>
      <c r="AR792" s="65"/>
      <c r="AS792" s="65"/>
      <c r="AT792" s="65"/>
      <c r="AU792" s="65"/>
      <c r="AV792" s="65"/>
      <c r="AW792" s="65"/>
      <c r="AX792" s="65"/>
      <c r="AY792" s="65"/>
      <c r="AZ792" s="65"/>
      <c r="BA792" s="65"/>
      <c r="BB792" s="65"/>
      <c r="BC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56"/>
      <c r="M793" s="56"/>
      <c r="N793" s="56"/>
      <c r="O793" s="56"/>
      <c r="P793" s="56"/>
      <c r="Q793" s="56"/>
      <c r="R793" s="56"/>
      <c r="S793" s="56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56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  <c r="AQ793" s="65"/>
      <c r="AR793" s="65"/>
      <c r="AS793" s="65"/>
      <c r="AT793" s="65"/>
      <c r="AU793" s="65"/>
      <c r="AV793" s="65"/>
      <c r="AW793" s="65"/>
      <c r="AX793" s="65"/>
      <c r="AY793" s="65"/>
      <c r="AZ793" s="65"/>
      <c r="BA793" s="65"/>
      <c r="BB793" s="65"/>
      <c r="BC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56"/>
      <c r="M794" s="56"/>
      <c r="N794" s="56"/>
      <c r="O794" s="56"/>
      <c r="P794" s="56"/>
      <c r="Q794" s="56"/>
      <c r="R794" s="56"/>
      <c r="S794" s="56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56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  <c r="AQ794" s="65"/>
      <c r="AR794" s="65"/>
      <c r="AS794" s="65"/>
      <c r="AT794" s="65"/>
      <c r="AU794" s="65"/>
      <c r="AV794" s="65"/>
      <c r="AW794" s="65"/>
      <c r="AX794" s="65"/>
      <c r="AY794" s="65"/>
      <c r="AZ794" s="65"/>
      <c r="BA794" s="65"/>
      <c r="BB794" s="65"/>
      <c r="BC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56"/>
      <c r="M795" s="56"/>
      <c r="N795" s="56"/>
      <c r="O795" s="56"/>
      <c r="P795" s="56"/>
      <c r="Q795" s="56"/>
      <c r="R795" s="56"/>
      <c r="S795" s="56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56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  <c r="AQ795" s="65"/>
      <c r="AR795" s="65"/>
      <c r="AS795" s="65"/>
      <c r="AT795" s="65"/>
      <c r="AU795" s="65"/>
      <c r="AV795" s="65"/>
      <c r="AW795" s="65"/>
      <c r="AX795" s="65"/>
      <c r="AY795" s="65"/>
      <c r="AZ795" s="65"/>
      <c r="BA795" s="65"/>
      <c r="BB795" s="65"/>
      <c r="BC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56"/>
      <c r="M796" s="56"/>
      <c r="N796" s="56"/>
      <c r="O796" s="56"/>
      <c r="P796" s="56"/>
      <c r="Q796" s="56"/>
      <c r="R796" s="56"/>
      <c r="S796" s="56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56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  <c r="AQ796" s="65"/>
      <c r="AR796" s="65"/>
      <c r="AS796" s="65"/>
      <c r="AT796" s="65"/>
      <c r="AU796" s="65"/>
      <c r="AV796" s="65"/>
      <c r="AW796" s="65"/>
      <c r="AX796" s="65"/>
      <c r="AY796" s="65"/>
      <c r="AZ796" s="65"/>
      <c r="BA796" s="65"/>
      <c r="BB796" s="65"/>
      <c r="BC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56"/>
      <c r="M797" s="56"/>
      <c r="N797" s="56"/>
      <c r="O797" s="56"/>
      <c r="P797" s="56"/>
      <c r="Q797" s="56"/>
      <c r="R797" s="56"/>
      <c r="S797" s="56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56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  <c r="AQ797" s="65"/>
      <c r="AR797" s="65"/>
      <c r="AS797" s="65"/>
      <c r="AT797" s="65"/>
      <c r="AU797" s="65"/>
      <c r="AV797" s="65"/>
      <c r="AW797" s="65"/>
      <c r="AX797" s="65"/>
      <c r="AY797" s="65"/>
      <c r="AZ797" s="65"/>
      <c r="BA797" s="65"/>
      <c r="BB797" s="65"/>
      <c r="BC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56"/>
      <c r="M798" s="56"/>
      <c r="N798" s="56"/>
      <c r="O798" s="56"/>
      <c r="P798" s="56"/>
      <c r="Q798" s="56"/>
      <c r="R798" s="56"/>
      <c r="S798" s="56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56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  <c r="AQ798" s="65"/>
      <c r="AR798" s="65"/>
      <c r="AS798" s="65"/>
      <c r="AT798" s="65"/>
      <c r="AU798" s="65"/>
      <c r="AV798" s="65"/>
      <c r="AW798" s="65"/>
      <c r="AX798" s="65"/>
      <c r="AY798" s="65"/>
      <c r="AZ798" s="65"/>
      <c r="BA798" s="65"/>
      <c r="BB798" s="65"/>
      <c r="BC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56"/>
      <c r="M799" s="56"/>
      <c r="N799" s="56"/>
      <c r="O799" s="56"/>
      <c r="P799" s="56"/>
      <c r="Q799" s="56"/>
      <c r="R799" s="56"/>
      <c r="S799" s="56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56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  <c r="AQ799" s="65"/>
      <c r="AR799" s="65"/>
      <c r="AS799" s="65"/>
      <c r="AT799" s="65"/>
      <c r="AU799" s="65"/>
      <c r="AV799" s="65"/>
      <c r="AW799" s="65"/>
      <c r="AX799" s="65"/>
      <c r="AY799" s="65"/>
      <c r="AZ799" s="65"/>
      <c r="BA799" s="65"/>
      <c r="BB799" s="65"/>
      <c r="BC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56"/>
      <c r="M800" s="56"/>
      <c r="N800" s="56"/>
      <c r="O800" s="56"/>
      <c r="P800" s="56"/>
      <c r="Q800" s="56"/>
      <c r="R800" s="56"/>
      <c r="S800" s="56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56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  <c r="AQ800" s="65"/>
      <c r="AR800" s="65"/>
      <c r="AS800" s="65"/>
      <c r="AT800" s="65"/>
      <c r="AU800" s="65"/>
      <c r="AV800" s="65"/>
      <c r="AW800" s="65"/>
      <c r="AX800" s="65"/>
      <c r="AY800" s="65"/>
      <c r="AZ800" s="65"/>
      <c r="BA800" s="65"/>
      <c r="BB800" s="65"/>
      <c r="BC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56"/>
      <c r="M801" s="56"/>
      <c r="N801" s="56"/>
      <c r="O801" s="56"/>
      <c r="P801" s="56"/>
      <c r="Q801" s="56"/>
      <c r="R801" s="56"/>
      <c r="S801" s="56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56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  <c r="AQ801" s="65"/>
      <c r="AR801" s="65"/>
      <c r="AS801" s="65"/>
      <c r="AT801" s="65"/>
      <c r="AU801" s="65"/>
      <c r="AV801" s="65"/>
      <c r="AW801" s="65"/>
      <c r="AX801" s="65"/>
      <c r="AY801" s="65"/>
      <c r="AZ801" s="65"/>
      <c r="BA801" s="65"/>
      <c r="BB801" s="65"/>
      <c r="BC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56"/>
      <c r="M802" s="56"/>
      <c r="N802" s="56"/>
      <c r="O802" s="56"/>
      <c r="P802" s="56"/>
      <c r="Q802" s="56"/>
      <c r="R802" s="56"/>
      <c r="S802" s="56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56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  <c r="AQ802" s="65"/>
      <c r="AR802" s="65"/>
      <c r="AS802" s="65"/>
      <c r="AT802" s="65"/>
      <c r="AU802" s="65"/>
      <c r="AV802" s="65"/>
      <c r="AW802" s="65"/>
      <c r="AX802" s="65"/>
      <c r="AY802" s="65"/>
      <c r="AZ802" s="65"/>
      <c r="BA802" s="65"/>
      <c r="BB802" s="65"/>
      <c r="BC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56"/>
      <c r="M803" s="56"/>
      <c r="N803" s="56"/>
      <c r="O803" s="56"/>
      <c r="P803" s="56"/>
      <c r="Q803" s="56"/>
      <c r="R803" s="56"/>
      <c r="S803" s="56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56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  <c r="AQ803" s="65"/>
      <c r="AR803" s="65"/>
      <c r="AS803" s="65"/>
      <c r="AT803" s="65"/>
      <c r="AU803" s="65"/>
      <c r="AV803" s="65"/>
      <c r="AW803" s="65"/>
      <c r="AX803" s="65"/>
      <c r="AY803" s="65"/>
      <c r="AZ803" s="65"/>
      <c r="BA803" s="65"/>
      <c r="BB803" s="65"/>
      <c r="BC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56"/>
      <c r="M804" s="56"/>
      <c r="N804" s="56"/>
      <c r="O804" s="56"/>
      <c r="P804" s="56"/>
      <c r="Q804" s="56"/>
      <c r="R804" s="56"/>
      <c r="S804" s="56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56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  <c r="AQ804" s="65"/>
      <c r="AR804" s="65"/>
      <c r="AS804" s="65"/>
      <c r="AT804" s="65"/>
      <c r="AU804" s="65"/>
      <c r="AV804" s="65"/>
      <c r="AW804" s="65"/>
      <c r="AX804" s="65"/>
      <c r="AY804" s="65"/>
      <c r="AZ804" s="65"/>
      <c r="BA804" s="65"/>
      <c r="BB804" s="65"/>
      <c r="BC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56"/>
      <c r="M805" s="56"/>
      <c r="N805" s="56"/>
      <c r="O805" s="56"/>
      <c r="P805" s="56"/>
      <c r="Q805" s="56"/>
      <c r="R805" s="56"/>
      <c r="S805" s="56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56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  <c r="AQ805" s="65"/>
      <c r="AR805" s="65"/>
      <c r="AS805" s="65"/>
      <c r="AT805" s="65"/>
      <c r="AU805" s="65"/>
      <c r="AV805" s="65"/>
      <c r="AW805" s="65"/>
      <c r="AX805" s="65"/>
      <c r="AY805" s="65"/>
      <c r="AZ805" s="65"/>
      <c r="BA805" s="65"/>
      <c r="BB805" s="65"/>
      <c r="BC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56"/>
      <c r="M806" s="56"/>
      <c r="N806" s="56"/>
      <c r="O806" s="56"/>
      <c r="P806" s="56"/>
      <c r="Q806" s="56"/>
      <c r="R806" s="56"/>
      <c r="S806" s="56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56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  <c r="AQ806" s="65"/>
      <c r="AR806" s="65"/>
      <c r="AS806" s="65"/>
      <c r="AT806" s="65"/>
      <c r="AU806" s="65"/>
      <c r="AV806" s="65"/>
      <c r="AW806" s="65"/>
      <c r="AX806" s="65"/>
      <c r="AY806" s="65"/>
      <c r="AZ806" s="65"/>
      <c r="BA806" s="65"/>
      <c r="BB806" s="65"/>
      <c r="BC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56"/>
      <c r="M807" s="56"/>
      <c r="N807" s="56"/>
      <c r="O807" s="56"/>
      <c r="P807" s="56"/>
      <c r="Q807" s="56"/>
      <c r="R807" s="56"/>
      <c r="S807" s="56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56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  <c r="AQ807" s="65"/>
      <c r="AR807" s="65"/>
      <c r="AS807" s="65"/>
      <c r="AT807" s="65"/>
      <c r="AU807" s="65"/>
      <c r="AV807" s="65"/>
      <c r="AW807" s="65"/>
      <c r="AX807" s="65"/>
      <c r="AY807" s="65"/>
      <c r="AZ807" s="65"/>
      <c r="BA807" s="65"/>
      <c r="BB807" s="65"/>
      <c r="BC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56"/>
      <c r="M808" s="56"/>
      <c r="N808" s="56"/>
      <c r="O808" s="56"/>
      <c r="P808" s="56"/>
      <c r="Q808" s="56"/>
      <c r="R808" s="56"/>
      <c r="S808" s="56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56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  <c r="AQ808" s="65"/>
      <c r="AR808" s="65"/>
      <c r="AS808" s="65"/>
      <c r="AT808" s="65"/>
      <c r="AU808" s="65"/>
      <c r="AV808" s="65"/>
      <c r="AW808" s="65"/>
      <c r="AX808" s="65"/>
      <c r="AY808" s="65"/>
      <c r="AZ808" s="65"/>
      <c r="BA808" s="65"/>
      <c r="BB808" s="65"/>
      <c r="BC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56"/>
      <c r="M809" s="56"/>
      <c r="N809" s="56"/>
      <c r="O809" s="56"/>
      <c r="P809" s="56"/>
      <c r="Q809" s="56"/>
      <c r="R809" s="56"/>
      <c r="S809" s="56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56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  <c r="AQ809" s="65"/>
      <c r="AR809" s="65"/>
      <c r="AS809" s="65"/>
      <c r="AT809" s="65"/>
      <c r="AU809" s="65"/>
      <c r="AV809" s="65"/>
      <c r="AW809" s="65"/>
      <c r="AX809" s="65"/>
      <c r="AY809" s="65"/>
      <c r="AZ809" s="65"/>
      <c r="BA809" s="65"/>
      <c r="BB809" s="65"/>
      <c r="BC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56"/>
      <c r="M810" s="56"/>
      <c r="N810" s="56"/>
      <c r="O810" s="56"/>
      <c r="P810" s="56"/>
      <c r="Q810" s="56"/>
      <c r="R810" s="56"/>
      <c r="S810" s="56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56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  <c r="AQ810" s="65"/>
      <c r="AR810" s="65"/>
      <c r="AS810" s="65"/>
      <c r="AT810" s="65"/>
      <c r="AU810" s="65"/>
      <c r="AV810" s="65"/>
      <c r="AW810" s="65"/>
      <c r="AX810" s="65"/>
      <c r="AY810" s="65"/>
      <c r="AZ810" s="65"/>
      <c r="BA810" s="65"/>
      <c r="BB810" s="65"/>
      <c r="BC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56"/>
      <c r="M811" s="56"/>
      <c r="N811" s="56"/>
      <c r="O811" s="56"/>
      <c r="P811" s="56"/>
      <c r="Q811" s="56"/>
      <c r="R811" s="56"/>
      <c r="S811" s="56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56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  <c r="AQ811" s="65"/>
      <c r="AR811" s="65"/>
      <c r="AS811" s="65"/>
      <c r="AT811" s="65"/>
      <c r="AU811" s="65"/>
      <c r="AV811" s="65"/>
      <c r="AW811" s="65"/>
      <c r="AX811" s="65"/>
      <c r="AY811" s="65"/>
      <c r="AZ811" s="65"/>
      <c r="BA811" s="65"/>
      <c r="BB811" s="65"/>
      <c r="BC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56"/>
      <c r="M812" s="56"/>
      <c r="N812" s="56"/>
      <c r="O812" s="56"/>
      <c r="P812" s="56"/>
      <c r="Q812" s="56"/>
      <c r="R812" s="56"/>
      <c r="S812" s="56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56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  <c r="AQ812" s="65"/>
      <c r="AR812" s="65"/>
      <c r="AS812" s="65"/>
      <c r="AT812" s="65"/>
      <c r="AU812" s="65"/>
      <c r="AV812" s="65"/>
      <c r="AW812" s="65"/>
      <c r="AX812" s="65"/>
      <c r="AY812" s="65"/>
      <c r="AZ812" s="65"/>
      <c r="BA812" s="65"/>
      <c r="BB812" s="65"/>
      <c r="BC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56"/>
      <c r="M813" s="56"/>
      <c r="N813" s="56"/>
      <c r="O813" s="56"/>
      <c r="P813" s="56"/>
      <c r="Q813" s="56"/>
      <c r="R813" s="56"/>
      <c r="S813" s="56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56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  <c r="AQ813" s="65"/>
      <c r="AR813" s="65"/>
      <c r="AS813" s="65"/>
      <c r="AT813" s="65"/>
      <c r="AU813" s="65"/>
      <c r="AV813" s="65"/>
      <c r="AW813" s="65"/>
      <c r="AX813" s="65"/>
      <c r="AY813" s="65"/>
      <c r="AZ813" s="65"/>
      <c r="BA813" s="65"/>
      <c r="BB813" s="65"/>
      <c r="BC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56"/>
      <c r="M814" s="56"/>
      <c r="N814" s="56"/>
      <c r="O814" s="56"/>
      <c r="P814" s="56"/>
      <c r="Q814" s="56"/>
      <c r="R814" s="56"/>
      <c r="S814" s="56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56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  <c r="AQ814" s="65"/>
      <c r="AR814" s="65"/>
      <c r="AS814" s="65"/>
      <c r="AT814" s="65"/>
      <c r="AU814" s="65"/>
      <c r="AV814" s="65"/>
      <c r="AW814" s="65"/>
      <c r="AX814" s="65"/>
      <c r="AY814" s="65"/>
      <c r="AZ814" s="65"/>
      <c r="BA814" s="65"/>
      <c r="BB814" s="65"/>
      <c r="BC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56"/>
      <c r="M815" s="56"/>
      <c r="N815" s="56"/>
      <c r="O815" s="56"/>
      <c r="P815" s="56"/>
      <c r="Q815" s="56"/>
      <c r="R815" s="56"/>
      <c r="S815" s="56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56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  <c r="AQ815" s="65"/>
      <c r="AR815" s="65"/>
      <c r="AS815" s="65"/>
      <c r="AT815" s="65"/>
      <c r="AU815" s="65"/>
      <c r="AV815" s="65"/>
      <c r="AW815" s="65"/>
      <c r="AX815" s="65"/>
      <c r="AY815" s="65"/>
      <c r="AZ815" s="65"/>
      <c r="BA815" s="65"/>
      <c r="BB815" s="65"/>
      <c r="BC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56"/>
      <c r="M816" s="56"/>
      <c r="N816" s="56"/>
      <c r="O816" s="56"/>
      <c r="P816" s="56"/>
      <c r="Q816" s="56"/>
      <c r="R816" s="56"/>
      <c r="S816" s="56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56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  <c r="AQ816" s="65"/>
      <c r="AR816" s="65"/>
      <c r="AS816" s="65"/>
      <c r="AT816" s="65"/>
      <c r="AU816" s="65"/>
      <c r="AV816" s="65"/>
      <c r="AW816" s="65"/>
      <c r="AX816" s="65"/>
      <c r="AY816" s="65"/>
      <c r="AZ816" s="65"/>
      <c r="BA816" s="65"/>
      <c r="BB816" s="65"/>
      <c r="BC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56"/>
      <c r="M817" s="56"/>
      <c r="N817" s="56"/>
      <c r="O817" s="56"/>
      <c r="P817" s="56"/>
      <c r="Q817" s="56"/>
      <c r="R817" s="56"/>
      <c r="S817" s="56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56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  <c r="AQ817" s="65"/>
      <c r="AR817" s="65"/>
      <c r="AS817" s="65"/>
      <c r="AT817" s="65"/>
      <c r="AU817" s="65"/>
      <c r="AV817" s="65"/>
      <c r="AW817" s="65"/>
      <c r="AX817" s="65"/>
      <c r="AY817" s="65"/>
      <c r="AZ817" s="65"/>
      <c r="BA817" s="65"/>
      <c r="BB817" s="65"/>
      <c r="BC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56"/>
      <c r="M818" s="56"/>
      <c r="N818" s="56"/>
      <c r="O818" s="56"/>
      <c r="P818" s="56"/>
      <c r="Q818" s="56"/>
      <c r="R818" s="56"/>
      <c r="S818" s="56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56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  <c r="AQ818" s="65"/>
      <c r="AR818" s="65"/>
      <c r="AS818" s="65"/>
      <c r="AT818" s="65"/>
      <c r="AU818" s="65"/>
      <c r="AV818" s="65"/>
      <c r="AW818" s="65"/>
      <c r="AX818" s="65"/>
      <c r="AY818" s="65"/>
      <c r="AZ818" s="65"/>
      <c r="BA818" s="65"/>
      <c r="BB818" s="65"/>
      <c r="BC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56"/>
      <c r="M819" s="56"/>
      <c r="N819" s="56"/>
      <c r="O819" s="56"/>
      <c r="P819" s="56"/>
      <c r="Q819" s="56"/>
      <c r="R819" s="56"/>
      <c r="S819" s="56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56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  <c r="AQ819" s="65"/>
      <c r="AR819" s="65"/>
      <c r="AS819" s="65"/>
      <c r="AT819" s="65"/>
      <c r="AU819" s="65"/>
      <c r="AV819" s="65"/>
      <c r="AW819" s="65"/>
      <c r="AX819" s="65"/>
      <c r="AY819" s="65"/>
      <c r="AZ819" s="65"/>
      <c r="BA819" s="65"/>
      <c r="BB819" s="65"/>
      <c r="BC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56"/>
      <c r="M820" s="56"/>
      <c r="N820" s="56"/>
      <c r="O820" s="56"/>
      <c r="P820" s="56"/>
      <c r="Q820" s="56"/>
      <c r="R820" s="56"/>
      <c r="S820" s="56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56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  <c r="AQ820" s="65"/>
      <c r="AR820" s="65"/>
      <c r="AS820" s="65"/>
      <c r="AT820" s="65"/>
      <c r="AU820" s="65"/>
      <c r="AV820" s="65"/>
      <c r="AW820" s="65"/>
      <c r="AX820" s="65"/>
      <c r="AY820" s="65"/>
      <c r="AZ820" s="65"/>
      <c r="BA820" s="65"/>
      <c r="BB820" s="65"/>
      <c r="BC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56"/>
      <c r="M821" s="56"/>
      <c r="N821" s="56"/>
      <c r="O821" s="56"/>
      <c r="P821" s="56"/>
      <c r="Q821" s="56"/>
      <c r="R821" s="56"/>
      <c r="S821" s="56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56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  <c r="AQ821" s="65"/>
      <c r="AR821" s="65"/>
      <c r="AS821" s="65"/>
      <c r="AT821" s="65"/>
      <c r="AU821" s="65"/>
      <c r="AV821" s="65"/>
      <c r="AW821" s="65"/>
      <c r="AX821" s="65"/>
      <c r="AY821" s="65"/>
      <c r="AZ821" s="65"/>
      <c r="BA821" s="65"/>
      <c r="BB821" s="65"/>
      <c r="BC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56"/>
      <c r="M822" s="56"/>
      <c r="N822" s="56"/>
      <c r="O822" s="56"/>
      <c r="P822" s="56"/>
      <c r="Q822" s="56"/>
      <c r="R822" s="56"/>
      <c r="S822" s="56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56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  <c r="AQ822" s="65"/>
      <c r="AR822" s="65"/>
      <c r="AS822" s="65"/>
      <c r="AT822" s="65"/>
      <c r="AU822" s="65"/>
      <c r="AV822" s="65"/>
      <c r="AW822" s="65"/>
      <c r="AX822" s="65"/>
      <c r="AY822" s="65"/>
      <c r="AZ822" s="65"/>
      <c r="BA822" s="65"/>
      <c r="BB822" s="65"/>
      <c r="BC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56"/>
      <c r="M823" s="56"/>
      <c r="N823" s="56"/>
      <c r="O823" s="56"/>
      <c r="P823" s="56"/>
      <c r="Q823" s="56"/>
      <c r="R823" s="56"/>
      <c r="S823" s="56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56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  <c r="AQ823" s="65"/>
      <c r="AR823" s="65"/>
      <c r="AS823" s="65"/>
      <c r="AT823" s="65"/>
      <c r="AU823" s="65"/>
      <c r="AV823" s="65"/>
      <c r="AW823" s="65"/>
      <c r="AX823" s="65"/>
      <c r="AY823" s="65"/>
      <c r="AZ823" s="65"/>
      <c r="BA823" s="65"/>
      <c r="BB823" s="65"/>
      <c r="BC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56"/>
      <c r="M824" s="56"/>
      <c r="N824" s="56"/>
      <c r="O824" s="56"/>
      <c r="P824" s="56"/>
      <c r="Q824" s="56"/>
      <c r="R824" s="56"/>
      <c r="S824" s="56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56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  <c r="AQ824" s="65"/>
      <c r="AR824" s="65"/>
      <c r="AS824" s="65"/>
      <c r="AT824" s="65"/>
      <c r="AU824" s="65"/>
      <c r="AV824" s="65"/>
      <c r="AW824" s="65"/>
      <c r="AX824" s="65"/>
      <c r="AY824" s="65"/>
      <c r="AZ824" s="65"/>
      <c r="BA824" s="65"/>
      <c r="BB824" s="65"/>
      <c r="BC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56"/>
      <c r="M825" s="56"/>
      <c r="N825" s="56"/>
      <c r="O825" s="56"/>
      <c r="P825" s="56"/>
      <c r="Q825" s="56"/>
      <c r="R825" s="56"/>
      <c r="S825" s="56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56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  <c r="AQ825" s="65"/>
      <c r="AR825" s="65"/>
      <c r="AS825" s="65"/>
      <c r="AT825" s="65"/>
      <c r="AU825" s="65"/>
      <c r="AV825" s="65"/>
      <c r="AW825" s="65"/>
      <c r="AX825" s="65"/>
      <c r="AY825" s="65"/>
      <c r="AZ825" s="65"/>
      <c r="BA825" s="65"/>
      <c r="BB825" s="65"/>
      <c r="BC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56"/>
      <c r="M826" s="56"/>
      <c r="N826" s="56"/>
      <c r="O826" s="56"/>
      <c r="P826" s="56"/>
      <c r="Q826" s="56"/>
      <c r="R826" s="56"/>
      <c r="S826" s="56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56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  <c r="AQ826" s="65"/>
      <c r="AR826" s="65"/>
      <c r="AS826" s="65"/>
      <c r="AT826" s="65"/>
      <c r="AU826" s="65"/>
      <c r="AV826" s="65"/>
      <c r="AW826" s="65"/>
      <c r="AX826" s="65"/>
      <c r="AY826" s="65"/>
      <c r="AZ826" s="65"/>
      <c r="BA826" s="65"/>
      <c r="BB826" s="65"/>
      <c r="BC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56"/>
      <c r="M827" s="56"/>
      <c r="N827" s="56"/>
      <c r="O827" s="56"/>
      <c r="P827" s="56"/>
      <c r="Q827" s="56"/>
      <c r="R827" s="56"/>
      <c r="S827" s="56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56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  <c r="AQ827" s="65"/>
      <c r="AR827" s="65"/>
      <c r="AS827" s="65"/>
      <c r="AT827" s="65"/>
      <c r="AU827" s="65"/>
      <c r="AV827" s="65"/>
      <c r="AW827" s="65"/>
      <c r="AX827" s="65"/>
      <c r="AY827" s="65"/>
      <c r="AZ827" s="65"/>
      <c r="BA827" s="65"/>
      <c r="BB827" s="65"/>
      <c r="BC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56"/>
      <c r="M828" s="56"/>
      <c r="N828" s="56"/>
      <c r="O828" s="56"/>
      <c r="P828" s="56"/>
      <c r="Q828" s="56"/>
      <c r="R828" s="56"/>
      <c r="S828" s="56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56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  <c r="AQ828" s="65"/>
      <c r="AR828" s="65"/>
      <c r="AS828" s="65"/>
      <c r="AT828" s="65"/>
      <c r="AU828" s="65"/>
      <c r="AV828" s="65"/>
      <c r="AW828" s="65"/>
      <c r="AX828" s="65"/>
      <c r="AY828" s="65"/>
      <c r="AZ828" s="65"/>
      <c r="BA828" s="65"/>
      <c r="BB828" s="65"/>
      <c r="BC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56"/>
      <c r="M829" s="56"/>
      <c r="N829" s="56"/>
      <c r="O829" s="56"/>
      <c r="P829" s="56"/>
      <c r="Q829" s="56"/>
      <c r="R829" s="56"/>
      <c r="S829" s="56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56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  <c r="AQ829" s="65"/>
      <c r="AR829" s="65"/>
      <c r="AS829" s="65"/>
      <c r="AT829" s="65"/>
      <c r="AU829" s="65"/>
      <c r="AV829" s="65"/>
      <c r="AW829" s="65"/>
      <c r="AX829" s="65"/>
      <c r="AY829" s="65"/>
      <c r="AZ829" s="65"/>
      <c r="BA829" s="65"/>
      <c r="BB829" s="65"/>
      <c r="BC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56"/>
      <c r="M830" s="56"/>
      <c r="N830" s="56"/>
      <c r="O830" s="56"/>
      <c r="P830" s="56"/>
      <c r="Q830" s="56"/>
      <c r="R830" s="56"/>
      <c r="S830" s="56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56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  <c r="AQ830" s="65"/>
      <c r="AR830" s="65"/>
      <c r="AS830" s="65"/>
      <c r="AT830" s="65"/>
      <c r="AU830" s="65"/>
      <c r="AV830" s="65"/>
      <c r="AW830" s="65"/>
      <c r="AX830" s="65"/>
      <c r="AY830" s="65"/>
      <c r="AZ830" s="65"/>
      <c r="BA830" s="65"/>
      <c r="BB830" s="65"/>
      <c r="BC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56"/>
      <c r="M831" s="56"/>
      <c r="N831" s="56"/>
      <c r="O831" s="56"/>
      <c r="P831" s="56"/>
      <c r="Q831" s="56"/>
      <c r="R831" s="56"/>
      <c r="S831" s="56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56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  <c r="AQ831" s="65"/>
      <c r="AR831" s="65"/>
      <c r="AS831" s="65"/>
      <c r="AT831" s="65"/>
      <c r="AU831" s="65"/>
      <c r="AV831" s="65"/>
      <c r="AW831" s="65"/>
      <c r="AX831" s="65"/>
      <c r="AY831" s="65"/>
      <c r="AZ831" s="65"/>
      <c r="BA831" s="65"/>
      <c r="BB831" s="65"/>
      <c r="BC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56"/>
      <c r="M832" s="56"/>
      <c r="N832" s="56"/>
      <c r="O832" s="56"/>
      <c r="P832" s="56"/>
      <c r="Q832" s="56"/>
      <c r="R832" s="56"/>
      <c r="S832" s="56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56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  <c r="AQ832" s="65"/>
      <c r="AR832" s="65"/>
      <c r="AS832" s="65"/>
      <c r="AT832" s="65"/>
      <c r="AU832" s="65"/>
      <c r="AV832" s="65"/>
      <c r="AW832" s="65"/>
      <c r="AX832" s="65"/>
      <c r="AY832" s="65"/>
      <c r="AZ832" s="65"/>
      <c r="BA832" s="65"/>
      <c r="BB832" s="65"/>
      <c r="BC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56"/>
      <c r="M833" s="56"/>
      <c r="N833" s="56"/>
      <c r="O833" s="56"/>
      <c r="P833" s="56"/>
      <c r="Q833" s="56"/>
      <c r="R833" s="56"/>
      <c r="S833" s="56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56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  <c r="AQ833" s="65"/>
      <c r="AR833" s="65"/>
      <c r="AS833" s="65"/>
      <c r="AT833" s="65"/>
      <c r="AU833" s="65"/>
      <c r="AV833" s="65"/>
      <c r="AW833" s="65"/>
      <c r="AX833" s="65"/>
      <c r="AY833" s="65"/>
      <c r="AZ833" s="65"/>
      <c r="BA833" s="65"/>
      <c r="BB833" s="65"/>
      <c r="BC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56"/>
      <c r="M834" s="56"/>
      <c r="N834" s="56"/>
      <c r="O834" s="56"/>
      <c r="P834" s="56"/>
      <c r="Q834" s="56"/>
      <c r="R834" s="56"/>
      <c r="S834" s="56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56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  <c r="AQ834" s="65"/>
      <c r="AR834" s="65"/>
      <c r="AS834" s="65"/>
      <c r="AT834" s="65"/>
      <c r="AU834" s="65"/>
      <c r="AV834" s="65"/>
      <c r="AW834" s="65"/>
      <c r="AX834" s="65"/>
      <c r="AY834" s="65"/>
      <c r="AZ834" s="65"/>
      <c r="BA834" s="65"/>
      <c r="BB834" s="65"/>
      <c r="BC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56"/>
      <c r="M835" s="56"/>
      <c r="N835" s="56"/>
      <c r="O835" s="56"/>
      <c r="P835" s="56"/>
      <c r="Q835" s="56"/>
      <c r="R835" s="56"/>
      <c r="S835" s="56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56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  <c r="AQ835" s="65"/>
      <c r="AR835" s="65"/>
      <c r="AS835" s="65"/>
      <c r="AT835" s="65"/>
      <c r="AU835" s="65"/>
      <c r="AV835" s="65"/>
      <c r="AW835" s="65"/>
      <c r="AX835" s="65"/>
      <c r="AY835" s="65"/>
      <c r="AZ835" s="65"/>
      <c r="BA835" s="65"/>
      <c r="BB835" s="65"/>
      <c r="BC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56"/>
      <c r="M836" s="56"/>
      <c r="N836" s="56"/>
      <c r="O836" s="56"/>
      <c r="P836" s="56"/>
      <c r="Q836" s="56"/>
      <c r="R836" s="56"/>
      <c r="S836" s="56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56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  <c r="AQ836" s="65"/>
      <c r="AR836" s="65"/>
      <c r="AS836" s="65"/>
      <c r="AT836" s="65"/>
      <c r="AU836" s="65"/>
      <c r="AV836" s="65"/>
      <c r="AW836" s="65"/>
      <c r="AX836" s="65"/>
      <c r="AY836" s="65"/>
      <c r="AZ836" s="65"/>
      <c r="BA836" s="65"/>
      <c r="BB836" s="65"/>
      <c r="BC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56"/>
      <c r="M837" s="56"/>
      <c r="N837" s="56"/>
      <c r="O837" s="56"/>
      <c r="P837" s="56"/>
      <c r="Q837" s="56"/>
      <c r="R837" s="56"/>
      <c r="S837" s="56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56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  <c r="AQ837" s="65"/>
      <c r="AR837" s="65"/>
      <c r="AS837" s="65"/>
      <c r="AT837" s="65"/>
      <c r="AU837" s="65"/>
      <c r="AV837" s="65"/>
      <c r="AW837" s="65"/>
      <c r="AX837" s="65"/>
      <c r="AY837" s="65"/>
      <c r="AZ837" s="65"/>
      <c r="BA837" s="65"/>
      <c r="BB837" s="65"/>
      <c r="BC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56"/>
      <c r="M838" s="56"/>
      <c r="N838" s="56"/>
      <c r="O838" s="56"/>
      <c r="P838" s="56"/>
      <c r="Q838" s="56"/>
      <c r="R838" s="56"/>
      <c r="S838" s="56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56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  <c r="AQ838" s="65"/>
      <c r="AR838" s="65"/>
      <c r="AS838" s="65"/>
      <c r="AT838" s="65"/>
      <c r="AU838" s="65"/>
      <c r="AV838" s="65"/>
      <c r="AW838" s="65"/>
      <c r="AX838" s="65"/>
      <c r="AY838" s="65"/>
      <c r="AZ838" s="65"/>
      <c r="BA838" s="65"/>
      <c r="BB838" s="65"/>
      <c r="BC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56"/>
      <c r="M839" s="56"/>
      <c r="N839" s="56"/>
      <c r="O839" s="56"/>
      <c r="P839" s="56"/>
      <c r="Q839" s="56"/>
      <c r="R839" s="56"/>
      <c r="S839" s="56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56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  <c r="AQ839" s="65"/>
      <c r="AR839" s="65"/>
      <c r="AS839" s="65"/>
      <c r="AT839" s="65"/>
      <c r="AU839" s="65"/>
      <c r="AV839" s="65"/>
      <c r="AW839" s="65"/>
      <c r="AX839" s="65"/>
      <c r="AY839" s="65"/>
      <c r="AZ839" s="65"/>
      <c r="BA839" s="65"/>
      <c r="BB839" s="65"/>
      <c r="BC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56"/>
      <c r="M840" s="56"/>
      <c r="N840" s="56"/>
      <c r="O840" s="56"/>
      <c r="P840" s="56"/>
      <c r="Q840" s="56"/>
      <c r="R840" s="56"/>
      <c r="S840" s="56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56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  <c r="AQ840" s="65"/>
      <c r="AR840" s="65"/>
      <c r="AS840" s="65"/>
      <c r="AT840" s="65"/>
      <c r="AU840" s="65"/>
      <c r="AV840" s="65"/>
      <c r="AW840" s="65"/>
      <c r="AX840" s="65"/>
      <c r="AY840" s="65"/>
      <c r="AZ840" s="65"/>
      <c r="BA840" s="65"/>
      <c r="BB840" s="65"/>
      <c r="BC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56"/>
      <c r="M841" s="56"/>
      <c r="N841" s="56"/>
      <c r="O841" s="56"/>
      <c r="P841" s="56"/>
      <c r="Q841" s="56"/>
      <c r="R841" s="56"/>
      <c r="S841" s="56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56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  <c r="AQ841" s="65"/>
      <c r="AR841" s="65"/>
      <c r="AS841" s="65"/>
      <c r="AT841" s="65"/>
      <c r="AU841" s="65"/>
      <c r="AV841" s="65"/>
      <c r="AW841" s="65"/>
      <c r="AX841" s="65"/>
      <c r="AY841" s="65"/>
      <c r="AZ841" s="65"/>
      <c r="BA841" s="65"/>
      <c r="BB841" s="65"/>
      <c r="BC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56"/>
      <c r="M842" s="56"/>
      <c r="N842" s="56"/>
      <c r="O842" s="56"/>
      <c r="P842" s="56"/>
      <c r="Q842" s="56"/>
      <c r="R842" s="56"/>
      <c r="S842" s="56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56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  <c r="AQ842" s="65"/>
      <c r="AR842" s="65"/>
      <c r="AS842" s="65"/>
      <c r="AT842" s="65"/>
      <c r="AU842" s="65"/>
      <c r="AV842" s="65"/>
      <c r="AW842" s="65"/>
      <c r="AX842" s="65"/>
      <c r="AY842" s="65"/>
      <c r="AZ842" s="65"/>
      <c r="BA842" s="65"/>
      <c r="BB842" s="65"/>
      <c r="BC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56"/>
      <c r="M843" s="56"/>
      <c r="N843" s="56"/>
      <c r="O843" s="56"/>
      <c r="P843" s="56"/>
      <c r="Q843" s="56"/>
      <c r="R843" s="56"/>
      <c r="S843" s="56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56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  <c r="AQ843" s="65"/>
      <c r="AR843" s="65"/>
      <c r="AS843" s="65"/>
      <c r="AT843" s="65"/>
      <c r="AU843" s="65"/>
      <c r="AV843" s="65"/>
      <c r="AW843" s="65"/>
      <c r="AX843" s="65"/>
      <c r="AY843" s="65"/>
      <c r="AZ843" s="65"/>
      <c r="BA843" s="65"/>
      <c r="BB843" s="65"/>
      <c r="BC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56"/>
      <c r="M844" s="56"/>
      <c r="N844" s="56"/>
      <c r="O844" s="56"/>
      <c r="P844" s="56"/>
      <c r="Q844" s="56"/>
      <c r="R844" s="56"/>
      <c r="S844" s="56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56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  <c r="AQ844" s="65"/>
      <c r="AR844" s="65"/>
      <c r="AS844" s="65"/>
      <c r="AT844" s="65"/>
      <c r="AU844" s="65"/>
      <c r="AV844" s="65"/>
      <c r="AW844" s="65"/>
      <c r="AX844" s="65"/>
      <c r="AY844" s="65"/>
      <c r="AZ844" s="65"/>
      <c r="BA844" s="65"/>
      <c r="BB844" s="65"/>
      <c r="BC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56"/>
      <c r="M845" s="56"/>
      <c r="N845" s="56"/>
      <c r="O845" s="56"/>
      <c r="P845" s="56"/>
      <c r="Q845" s="56"/>
      <c r="R845" s="56"/>
      <c r="S845" s="56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56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  <c r="AQ845" s="65"/>
      <c r="AR845" s="65"/>
      <c r="AS845" s="65"/>
      <c r="AT845" s="65"/>
      <c r="AU845" s="65"/>
      <c r="AV845" s="65"/>
      <c r="AW845" s="65"/>
      <c r="AX845" s="65"/>
      <c r="AY845" s="65"/>
      <c r="AZ845" s="65"/>
      <c r="BA845" s="65"/>
      <c r="BB845" s="65"/>
      <c r="BC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56"/>
      <c r="M846" s="56"/>
      <c r="N846" s="56"/>
      <c r="O846" s="56"/>
      <c r="P846" s="56"/>
      <c r="Q846" s="56"/>
      <c r="R846" s="56"/>
      <c r="S846" s="56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56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  <c r="AQ846" s="65"/>
      <c r="AR846" s="65"/>
      <c r="AS846" s="65"/>
      <c r="AT846" s="65"/>
      <c r="AU846" s="65"/>
      <c r="AV846" s="65"/>
      <c r="AW846" s="65"/>
      <c r="AX846" s="65"/>
      <c r="AY846" s="65"/>
      <c r="AZ846" s="65"/>
      <c r="BA846" s="65"/>
      <c r="BB846" s="65"/>
      <c r="BC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56"/>
      <c r="M847" s="56"/>
      <c r="N847" s="56"/>
      <c r="O847" s="56"/>
      <c r="P847" s="56"/>
      <c r="Q847" s="56"/>
      <c r="R847" s="56"/>
      <c r="S847" s="56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56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  <c r="AQ847" s="65"/>
      <c r="AR847" s="65"/>
      <c r="AS847" s="65"/>
      <c r="AT847" s="65"/>
      <c r="AU847" s="65"/>
      <c r="AV847" s="65"/>
      <c r="AW847" s="65"/>
      <c r="AX847" s="65"/>
      <c r="AY847" s="65"/>
      <c r="AZ847" s="65"/>
      <c r="BA847" s="65"/>
      <c r="BB847" s="65"/>
      <c r="BC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56"/>
      <c r="M848" s="56"/>
      <c r="N848" s="56"/>
      <c r="O848" s="56"/>
      <c r="P848" s="56"/>
      <c r="Q848" s="56"/>
      <c r="R848" s="56"/>
      <c r="S848" s="56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56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  <c r="AQ848" s="65"/>
      <c r="AR848" s="65"/>
      <c r="AS848" s="65"/>
      <c r="AT848" s="65"/>
      <c r="AU848" s="65"/>
      <c r="AV848" s="65"/>
      <c r="AW848" s="65"/>
      <c r="AX848" s="65"/>
      <c r="AY848" s="65"/>
      <c r="AZ848" s="65"/>
      <c r="BA848" s="65"/>
      <c r="BB848" s="65"/>
      <c r="BC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56"/>
      <c r="M849" s="56"/>
      <c r="N849" s="56"/>
      <c r="O849" s="56"/>
      <c r="P849" s="56"/>
      <c r="Q849" s="56"/>
      <c r="R849" s="56"/>
      <c r="S849" s="56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56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  <c r="AQ849" s="65"/>
      <c r="AR849" s="65"/>
      <c r="AS849" s="65"/>
      <c r="AT849" s="65"/>
      <c r="AU849" s="65"/>
      <c r="AV849" s="65"/>
      <c r="AW849" s="65"/>
      <c r="AX849" s="65"/>
      <c r="AY849" s="65"/>
      <c r="AZ849" s="65"/>
      <c r="BA849" s="65"/>
      <c r="BB849" s="65"/>
      <c r="BC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56"/>
      <c r="M850" s="56"/>
      <c r="N850" s="56"/>
      <c r="O850" s="56"/>
      <c r="P850" s="56"/>
      <c r="Q850" s="56"/>
      <c r="R850" s="56"/>
      <c r="S850" s="56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56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  <c r="AQ850" s="65"/>
      <c r="AR850" s="65"/>
      <c r="AS850" s="65"/>
      <c r="AT850" s="65"/>
      <c r="AU850" s="65"/>
      <c r="AV850" s="65"/>
      <c r="AW850" s="65"/>
      <c r="AX850" s="65"/>
      <c r="AY850" s="65"/>
      <c r="AZ850" s="65"/>
      <c r="BA850" s="65"/>
      <c r="BB850" s="65"/>
      <c r="BC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56"/>
      <c r="M851" s="56"/>
      <c r="N851" s="56"/>
      <c r="O851" s="56"/>
      <c r="P851" s="56"/>
      <c r="Q851" s="56"/>
      <c r="R851" s="56"/>
      <c r="S851" s="56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56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  <c r="AQ851" s="65"/>
      <c r="AR851" s="65"/>
      <c r="AS851" s="65"/>
      <c r="AT851" s="65"/>
      <c r="AU851" s="65"/>
      <c r="AV851" s="65"/>
      <c r="AW851" s="65"/>
      <c r="AX851" s="65"/>
      <c r="AY851" s="65"/>
      <c r="AZ851" s="65"/>
      <c r="BA851" s="65"/>
      <c r="BB851" s="65"/>
      <c r="BC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56"/>
      <c r="M852" s="56"/>
      <c r="N852" s="56"/>
      <c r="O852" s="56"/>
      <c r="P852" s="56"/>
      <c r="Q852" s="56"/>
      <c r="R852" s="56"/>
      <c r="S852" s="56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56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  <c r="AQ852" s="65"/>
      <c r="AR852" s="65"/>
      <c r="AS852" s="65"/>
      <c r="AT852" s="65"/>
      <c r="AU852" s="65"/>
      <c r="AV852" s="65"/>
      <c r="AW852" s="65"/>
      <c r="AX852" s="65"/>
      <c r="AY852" s="65"/>
      <c r="AZ852" s="65"/>
      <c r="BA852" s="65"/>
      <c r="BB852" s="65"/>
      <c r="BC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56"/>
      <c r="M853" s="56"/>
      <c r="N853" s="56"/>
      <c r="O853" s="56"/>
      <c r="P853" s="56"/>
      <c r="Q853" s="56"/>
      <c r="R853" s="56"/>
      <c r="S853" s="56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56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  <c r="AQ853" s="65"/>
      <c r="AR853" s="65"/>
      <c r="AS853" s="65"/>
      <c r="AT853" s="65"/>
      <c r="AU853" s="65"/>
      <c r="AV853" s="65"/>
      <c r="AW853" s="65"/>
      <c r="AX853" s="65"/>
      <c r="AY853" s="65"/>
      <c r="AZ853" s="65"/>
      <c r="BA853" s="65"/>
      <c r="BB853" s="65"/>
      <c r="BC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56"/>
      <c r="M854" s="56"/>
      <c r="N854" s="56"/>
      <c r="O854" s="56"/>
      <c r="P854" s="56"/>
      <c r="Q854" s="56"/>
      <c r="R854" s="56"/>
      <c r="S854" s="56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56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  <c r="AQ854" s="65"/>
      <c r="AR854" s="65"/>
      <c r="AS854" s="65"/>
      <c r="AT854" s="65"/>
      <c r="AU854" s="65"/>
      <c r="AV854" s="65"/>
      <c r="AW854" s="65"/>
      <c r="AX854" s="65"/>
      <c r="AY854" s="65"/>
      <c r="AZ854" s="65"/>
      <c r="BA854" s="65"/>
      <c r="BB854" s="65"/>
      <c r="BC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56"/>
      <c r="M855" s="56"/>
      <c r="N855" s="56"/>
      <c r="O855" s="56"/>
      <c r="P855" s="56"/>
      <c r="Q855" s="56"/>
      <c r="R855" s="56"/>
      <c r="S855" s="56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56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  <c r="AQ855" s="65"/>
      <c r="AR855" s="65"/>
      <c r="AS855" s="65"/>
      <c r="AT855" s="65"/>
      <c r="AU855" s="65"/>
      <c r="AV855" s="65"/>
      <c r="AW855" s="65"/>
      <c r="AX855" s="65"/>
      <c r="AY855" s="65"/>
      <c r="AZ855" s="65"/>
      <c r="BA855" s="65"/>
      <c r="BB855" s="65"/>
      <c r="BC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56"/>
      <c r="M856" s="56"/>
      <c r="N856" s="56"/>
      <c r="O856" s="56"/>
      <c r="P856" s="56"/>
      <c r="Q856" s="56"/>
      <c r="R856" s="56"/>
      <c r="S856" s="56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56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  <c r="AQ856" s="65"/>
      <c r="AR856" s="65"/>
      <c r="AS856" s="65"/>
      <c r="AT856" s="65"/>
      <c r="AU856" s="65"/>
      <c r="AV856" s="65"/>
      <c r="AW856" s="65"/>
      <c r="AX856" s="65"/>
      <c r="AY856" s="65"/>
      <c r="AZ856" s="65"/>
      <c r="BA856" s="65"/>
      <c r="BB856" s="65"/>
      <c r="BC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56"/>
      <c r="M857" s="56"/>
      <c r="N857" s="56"/>
      <c r="O857" s="56"/>
      <c r="P857" s="56"/>
      <c r="Q857" s="56"/>
      <c r="R857" s="56"/>
      <c r="S857" s="56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56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  <c r="AQ857" s="65"/>
      <c r="AR857" s="65"/>
      <c r="AS857" s="65"/>
      <c r="AT857" s="65"/>
      <c r="AU857" s="65"/>
      <c r="AV857" s="65"/>
      <c r="AW857" s="65"/>
      <c r="AX857" s="65"/>
      <c r="AY857" s="65"/>
      <c r="AZ857" s="65"/>
      <c r="BA857" s="65"/>
      <c r="BB857" s="65"/>
      <c r="BC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56"/>
      <c r="M858" s="56"/>
      <c r="N858" s="56"/>
      <c r="O858" s="56"/>
      <c r="P858" s="56"/>
      <c r="Q858" s="56"/>
      <c r="R858" s="56"/>
      <c r="S858" s="56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56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  <c r="AQ858" s="65"/>
      <c r="AR858" s="65"/>
      <c r="AS858" s="65"/>
      <c r="AT858" s="65"/>
      <c r="AU858" s="65"/>
      <c r="AV858" s="65"/>
      <c r="AW858" s="65"/>
      <c r="AX858" s="65"/>
      <c r="AY858" s="65"/>
      <c r="AZ858" s="65"/>
      <c r="BA858" s="65"/>
      <c r="BB858" s="65"/>
      <c r="BC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56"/>
      <c r="M859" s="56"/>
      <c r="N859" s="56"/>
      <c r="O859" s="56"/>
      <c r="P859" s="56"/>
      <c r="Q859" s="56"/>
      <c r="R859" s="56"/>
      <c r="S859" s="56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56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  <c r="AQ859" s="65"/>
      <c r="AR859" s="65"/>
      <c r="AS859" s="65"/>
      <c r="AT859" s="65"/>
      <c r="AU859" s="65"/>
      <c r="AV859" s="65"/>
      <c r="AW859" s="65"/>
      <c r="AX859" s="65"/>
      <c r="AY859" s="65"/>
      <c r="AZ859" s="65"/>
      <c r="BA859" s="65"/>
      <c r="BB859" s="65"/>
      <c r="BC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56"/>
      <c r="M860" s="56"/>
      <c r="N860" s="56"/>
      <c r="O860" s="56"/>
      <c r="P860" s="56"/>
      <c r="Q860" s="56"/>
      <c r="R860" s="56"/>
      <c r="S860" s="56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56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  <c r="AQ860" s="65"/>
      <c r="AR860" s="65"/>
      <c r="AS860" s="65"/>
      <c r="AT860" s="65"/>
      <c r="AU860" s="65"/>
      <c r="AV860" s="65"/>
      <c r="AW860" s="65"/>
      <c r="AX860" s="65"/>
      <c r="AY860" s="65"/>
      <c r="AZ860" s="65"/>
      <c r="BA860" s="65"/>
      <c r="BB860" s="65"/>
      <c r="BC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56"/>
      <c r="M861" s="56"/>
      <c r="N861" s="56"/>
      <c r="O861" s="56"/>
      <c r="P861" s="56"/>
      <c r="Q861" s="56"/>
      <c r="R861" s="56"/>
      <c r="S861" s="56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56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  <c r="AQ861" s="65"/>
      <c r="AR861" s="65"/>
      <c r="AS861" s="65"/>
      <c r="AT861" s="65"/>
      <c r="AU861" s="65"/>
      <c r="AV861" s="65"/>
      <c r="AW861" s="65"/>
      <c r="AX861" s="65"/>
      <c r="AY861" s="65"/>
      <c r="AZ861" s="65"/>
      <c r="BA861" s="65"/>
      <c r="BB861" s="65"/>
      <c r="BC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56"/>
      <c r="M862" s="56"/>
      <c r="N862" s="56"/>
      <c r="O862" s="56"/>
      <c r="P862" s="56"/>
      <c r="Q862" s="56"/>
      <c r="R862" s="56"/>
      <c r="S862" s="56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56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  <c r="AQ862" s="65"/>
      <c r="AR862" s="65"/>
      <c r="AS862" s="65"/>
      <c r="AT862" s="65"/>
      <c r="AU862" s="65"/>
      <c r="AV862" s="65"/>
      <c r="AW862" s="65"/>
      <c r="AX862" s="65"/>
      <c r="AY862" s="65"/>
      <c r="AZ862" s="65"/>
      <c r="BA862" s="65"/>
      <c r="BB862" s="65"/>
      <c r="BC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56"/>
      <c r="M863" s="56"/>
      <c r="N863" s="56"/>
      <c r="O863" s="56"/>
      <c r="P863" s="56"/>
      <c r="Q863" s="56"/>
      <c r="R863" s="56"/>
      <c r="S863" s="56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56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  <c r="AQ863" s="65"/>
      <c r="AR863" s="65"/>
      <c r="AS863" s="65"/>
      <c r="AT863" s="65"/>
      <c r="AU863" s="65"/>
      <c r="AV863" s="65"/>
      <c r="AW863" s="65"/>
      <c r="AX863" s="65"/>
      <c r="AY863" s="65"/>
      <c r="AZ863" s="65"/>
      <c r="BA863" s="65"/>
      <c r="BB863" s="65"/>
      <c r="BC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56"/>
      <c r="M864" s="56"/>
      <c r="N864" s="56"/>
      <c r="O864" s="56"/>
      <c r="P864" s="56"/>
      <c r="Q864" s="56"/>
      <c r="R864" s="56"/>
      <c r="S864" s="56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56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  <c r="AQ864" s="65"/>
      <c r="AR864" s="65"/>
      <c r="AS864" s="65"/>
      <c r="AT864" s="65"/>
      <c r="AU864" s="65"/>
      <c r="AV864" s="65"/>
      <c r="AW864" s="65"/>
      <c r="AX864" s="65"/>
      <c r="AY864" s="65"/>
      <c r="AZ864" s="65"/>
      <c r="BA864" s="65"/>
      <c r="BB864" s="65"/>
      <c r="BC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56"/>
      <c r="M865" s="56"/>
      <c r="N865" s="56"/>
      <c r="O865" s="56"/>
      <c r="P865" s="56"/>
      <c r="Q865" s="56"/>
      <c r="R865" s="56"/>
      <c r="S865" s="56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56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  <c r="AQ865" s="65"/>
      <c r="AR865" s="65"/>
      <c r="AS865" s="65"/>
      <c r="AT865" s="65"/>
      <c r="AU865" s="65"/>
      <c r="AV865" s="65"/>
      <c r="AW865" s="65"/>
      <c r="AX865" s="65"/>
      <c r="AY865" s="65"/>
      <c r="AZ865" s="65"/>
      <c r="BA865" s="65"/>
      <c r="BB865" s="65"/>
      <c r="BC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56"/>
      <c r="M866" s="56"/>
      <c r="N866" s="56"/>
      <c r="O866" s="56"/>
      <c r="P866" s="56"/>
      <c r="Q866" s="56"/>
      <c r="R866" s="56"/>
      <c r="S866" s="56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56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  <c r="AQ866" s="65"/>
      <c r="AR866" s="65"/>
      <c r="AS866" s="65"/>
      <c r="AT866" s="65"/>
      <c r="AU866" s="65"/>
      <c r="AV866" s="65"/>
      <c r="AW866" s="65"/>
      <c r="AX866" s="65"/>
      <c r="AY866" s="65"/>
      <c r="AZ866" s="65"/>
      <c r="BA866" s="65"/>
      <c r="BB866" s="65"/>
      <c r="BC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56"/>
      <c r="M867" s="56"/>
      <c r="N867" s="56"/>
      <c r="O867" s="56"/>
      <c r="P867" s="56"/>
      <c r="Q867" s="56"/>
      <c r="R867" s="56"/>
      <c r="S867" s="56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56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  <c r="AQ867" s="65"/>
      <c r="AR867" s="65"/>
      <c r="AS867" s="65"/>
      <c r="AT867" s="65"/>
      <c r="AU867" s="65"/>
      <c r="AV867" s="65"/>
      <c r="AW867" s="65"/>
      <c r="AX867" s="65"/>
      <c r="AY867" s="65"/>
      <c r="AZ867" s="65"/>
      <c r="BA867" s="65"/>
      <c r="BB867" s="65"/>
      <c r="BC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56"/>
      <c r="M868" s="56"/>
      <c r="N868" s="56"/>
      <c r="O868" s="56"/>
      <c r="P868" s="56"/>
      <c r="Q868" s="56"/>
      <c r="R868" s="56"/>
      <c r="S868" s="56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56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  <c r="AQ868" s="65"/>
      <c r="AR868" s="65"/>
      <c r="AS868" s="65"/>
      <c r="AT868" s="65"/>
      <c r="AU868" s="65"/>
      <c r="AV868" s="65"/>
      <c r="AW868" s="65"/>
      <c r="AX868" s="65"/>
      <c r="AY868" s="65"/>
      <c r="AZ868" s="65"/>
      <c r="BA868" s="65"/>
      <c r="BB868" s="65"/>
      <c r="BC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56"/>
      <c r="M869" s="56"/>
      <c r="N869" s="56"/>
      <c r="O869" s="56"/>
      <c r="P869" s="56"/>
      <c r="Q869" s="56"/>
      <c r="R869" s="56"/>
      <c r="S869" s="56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56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  <c r="AQ869" s="65"/>
      <c r="AR869" s="65"/>
      <c r="AS869" s="65"/>
      <c r="AT869" s="65"/>
      <c r="AU869" s="65"/>
      <c r="AV869" s="65"/>
      <c r="AW869" s="65"/>
      <c r="AX869" s="65"/>
      <c r="AY869" s="65"/>
      <c r="AZ869" s="65"/>
      <c r="BA869" s="65"/>
      <c r="BB869" s="65"/>
      <c r="BC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56"/>
      <c r="M870" s="56"/>
      <c r="N870" s="56"/>
      <c r="O870" s="56"/>
      <c r="P870" s="56"/>
      <c r="Q870" s="56"/>
      <c r="R870" s="56"/>
      <c r="S870" s="56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56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  <c r="AQ870" s="65"/>
      <c r="AR870" s="65"/>
      <c r="AS870" s="65"/>
      <c r="AT870" s="65"/>
      <c r="AU870" s="65"/>
      <c r="AV870" s="65"/>
      <c r="AW870" s="65"/>
      <c r="AX870" s="65"/>
      <c r="AY870" s="65"/>
      <c r="AZ870" s="65"/>
      <c r="BA870" s="65"/>
      <c r="BB870" s="65"/>
      <c r="BC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56"/>
      <c r="M871" s="56"/>
      <c r="N871" s="56"/>
      <c r="O871" s="56"/>
      <c r="P871" s="56"/>
      <c r="Q871" s="56"/>
      <c r="R871" s="56"/>
      <c r="S871" s="56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56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  <c r="AQ871" s="65"/>
      <c r="AR871" s="65"/>
      <c r="AS871" s="65"/>
      <c r="AT871" s="65"/>
      <c r="AU871" s="65"/>
      <c r="AV871" s="65"/>
      <c r="AW871" s="65"/>
      <c r="AX871" s="65"/>
      <c r="AY871" s="65"/>
      <c r="AZ871" s="65"/>
      <c r="BA871" s="65"/>
      <c r="BB871" s="65"/>
      <c r="BC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56"/>
      <c r="M872" s="56"/>
      <c r="N872" s="56"/>
      <c r="O872" s="56"/>
      <c r="P872" s="56"/>
      <c r="Q872" s="56"/>
      <c r="R872" s="56"/>
      <c r="S872" s="56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56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  <c r="AQ872" s="65"/>
      <c r="AR872" s="65"/>
      <c r="AS872" s="65"/>
      <c r="AT872" s="65"/>
      <c r="AU872" s="65"/>
      <c r="AV872" s="65"/>
      <c r="AW872" s="65"/>
      <c r="AX872" s="65"/>
      <c r="AY872" s="65"/>
      <c r="AZ872" s="65"/>
      <c r="BA872" s="65"/>
      <c r="BB872" s="65"/>
      <c r="BC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56"/>
      <c r="M873" s="56"/>
      <c r="N873" s="56"/>
      <c r="O873" s="56"/>
      <c r="P873" s="56"/>
      <c r="Q873" s="56"/>
      <c r="R873" s="56"/>
      <c r="S873" s="56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56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  <c r="AQ873" s="65"/>
      <c r="AR873" s="65"/>
      <c r="AS873" s="65"/>
      <c r="AT873" s="65"/>
      <c r="AU873" s="65"/>
      <c r="AV873" s="65"/>
      <c r="AW873" s="65"/>
      <c r="AX873" s="65"/>
      <c r="AY873" s="65"/>
      <c r="AZ873" s="65"/>
      <c r="BA873" s="65"/>
      <c r="BB873" s="65"/>
      <c r="BC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56"/>
      <c r="M874" s="56"/>
      <c r="N874" s="56"/>
      <c r="O874" s="56"/>
      <c r="P874" s="56"/>
      <c r="Q874" s="56"/>
      <c r="R874" s="56"/>
      <c r="S874" s="56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56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  <c r="AQ874" s="65"/>
      <c r="AR874" s="65"/>
      <c r="AS874" s="65"/>
      <c r="AT874" s="65"/>
      <c r="AU874" s="65"/>
      <c r="AV874" s="65"/>
      <c r="AW874" s="65"/>
      <c r="AX874" s="65"/>
      <c r="AY874" s="65"/>
      <c r="AZ874" s="65"/>
      <c r="BA874" s="65"/>
      <c r="BB874" s="65"/>
      <c r="BC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56"/>
      <c r="M875" s="56"/>
      <c r="N875" s="56"/>
      <c r="O875" s="56"/>
      <c r="P875" s="56"/>
      <c r="Q875" s="56"/>
      <c r="R875" s="56"/>
      <c r="S875" s="56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56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  <c r="AQ875" s="65"/>
      <c r="AR875" s="65"/>
      <c r="AS875" s="65"/>
      <c r="AT875" s="65"/>
      <c r="AU875" s="65"/>
      <c r="AV875" s="65"/>
      <c r="AW875" s="65"/>
      <c r="AX875" s="65"/>
      <c r="AY875" s="65"/>
      <c r="AZ875" s="65"/>
      <c r="BA875" s="65"/>
      <c r="BB875" s="65"/>
      <c r="BC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56"/>
      <c r="M876" s="56"/>
      <c r="N876" s="56"/>
      <c r="O876" s="56"/>
      <c r="P876" s="56"/>
      <c r="Q876" s="56"/>
      <c r="R876" s="56"/>
      <c r="S876" s="56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56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  <c r="AQ876" s="65"/>
      <c r="AR876" s="65"/>
      <c r="AS876" s="65"/>
      <c r="AT876" s="65"/>
      <c r="AU876" s="65"/>
      <c r="AV876" s="65"/>
      <c r="AW876" s="65"/>
      <c r="AX876" s="65"/>
      <c r="AY876" s="65"/>
      <c r="AZ876" s="65"/>
      <c r="BA876" s="65"/>
      <c r="BB876" s="65"/>
      <c r="BC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56"/>
      <c r="M877" s="56"/>
      <c r="N877" s="56"/>
      <c r="O877" s="56"/>
      <c r="P877" s="56"/>
      <c r="Q877" s="56"/>
      <c r="R877" s="56"/>
      <c r="S877" s="56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56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  <c r="AQ877" s="65"/>
      <c r="AR877" s="65"/>
      <c r="AS877" s="65"/>
      <c r="AT877" s="65"/>
      <c r="AU877" s="65"/>
      <c r="AV877" s="65"/>
      <c r="AW877" s="65"/>
      <c r="AX877" s="65"/>
      <c r="AY877" s="65"/>
      <c r="AZ877" s="65"/>
      <c r="BA877" s="65"/>
      <c r="BB877" s="65"/>
      <c r="BC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56"/>
      <c r="M878" s="56"/>
      <c r="N878" s="56"/>
      <c r="O878" s="56"/>
      <c r="P878" s="56"/>
      <c r="Q878" s="56"/>
      <c r="R878" s="56"/>
      <c r="S878" s="56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56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  <c r="AQ878" s="65"/>
      <c r="AR878" s="65"/>
      <c r="AS878" s="65"/>
      <c r="AT878" s="65"/>
      <c r="AU878" s="65"/>
      <c r="AV878" s="65"/>
      <c r="AW878" s="65"/>
      <c r="AX878" s="65"/>
      <c r="AY878" s="65"/>
      <c r="AZ878" s="65"/>
      <c r="BA878" s="65"/>
      <c r="BB878" s="65"/>
      <c r="BC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56"/>
      <c r="M879" s="56"/>
      <c r="N879" s="56"/>
      <c r="O879" s="56"/>
      <c r="P879" s="56"/>
      <c r="Q879" s="56"/>
      <c r="R879" s="56"/>
      <c r="S879" s="56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56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  <c r="AQ879" s="65"/>
      <c r="AR879" s="65"/>
      <c r="AS879" s="65"/>
      <c r="AT879" s="65"/>
      <c r="AU879" s="65"/>
      <c r="AV879" s="65"/>
      <c r="AW879" s="65"/>
      <c r="AX879" s="65"/>
      <c r="AY879" s="65"/>
      <c r="AZ879" s="65"/>
      <c r="BA879" s="65"/>
      <c r="BB879" s="65"/>
      <c r="BC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56"/>
      <c r="M880" s="56"/>
      <c r="N880" s="56"/>
      <c r="O880" s="56"/>
      <c r="P880" s="56"/>
      <c r="Q880" s="56"/>
      <c r="R880" s="56"/>
      <c r="S880" s="56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56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  <c r="AQ880" s="65"/>
      <c r="AR880" s="65"/>
      <c r="AS880" s="65"/>
      <c r="AT880" s="65"/>
      <c r="AU880" s="65"/>
      <c r="AV880" s="65"/>
      <c r="AW880" s="65"/>
      <c r="AX880" s="65"/>
      <c r="AY880" s="65"/>
      <c r="AZ880" s="65"/>
      <c r="BA880" s="65"/>
      <c r="BB880" s="65"/>
      <c r="BC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56"/>
      <c r="M881" s="56"/>
      <c r="N881" s="56"/>
      <c r="O881" s="56"/>
      <c r="P881" s="56"/>
      <c r="Q881" s="56"/>
      <c r="R881" s="56"/>
      <c r="S881" s="56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56"/>
      <c r="AG881" s="65"/>
      <c r="AH881" s="65"/>
      <c r="AI881" s="65"/>
      <c r="AJ881" s="65"/>
      <c r="AK881" s="65"/>
      <c r="AL881" s="65"/>
      <c r="AM881" s="65"/>
      <c r="AN881" s="65"/>
      <c r="AO881" s="65"/>
      <c r="AP881" s="65"/>
      <c r="AQ881" s="65"/>
      <c r="AR881" s="65"/>
      <c r="AS881" s="65"/>
      <c r="AT881" s="65"/>
      <c r="AU881" s="65"/>
      <c r="AV881" s="65"/>
      <c r="AW881" s="65"/>
      <c r="AX881" s="65"/>
      <c r="AY881" s="65"/>
      <c r="AZ881" s="65"/>
      <c r="BA881" s="65"/>
      <c r="BB881" s="65"/>
      <c r="BC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56"/>
      <c r="M882" s="56"/>
      <c r="N882" s="56"/>
      <c r="O882" s="56"/>
      <c r="P882" s="56"/>
      <c r="Q882" s="56"/>
      <c r="R882" s="56"/>
      <c r="S882" s="56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56"/>
      <c r="AG882" s="65"/>
      <c r="AH882" s="65"/>
      <c r="AI882" s="65"/>
      <c r="AJ882" s="65"/>
      <c r="AK882" s="65"/>
      <c r="AL882" s="65"/>
      <c r="AM882" s="65"/>
      <c r="AN882" s="65"/>
      <c r="AO882" s="65"/>
      <c r="AP882" s="65"/>
      <c r="AQ882" s="65"/>
      <c r="AR882" s="65"/>
      <c r="AS882" s="65"/>
      <c r="AT882" s="65"/>
      <c r="AU882" s="65"/>
      <c r="AV882" s="65"/>
      <c r="AW882" s="65"/>
      <c r="AX882" s="65"/>
      <c r="AY882" s="65"/>
      <c r="AZ882" s="65"/>
      <c r="BA882" s="65"/>
      <c r="BB882" s="65"/>
      <c r="BC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56"/>
      <c r="M883" s="56"/>
      <c r="N883" s="56"/>
      <c r="O883" s="56"/>
      <c r="P883" s="56"/>
      <c r="Q883" s="56"/>
      <c r="R883" s="56"/>
      <c r="S883" s="56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56"/>
      <c r="AG883" s="65"/>
      <c r="AH883" s="65"/>
      <c r="AI883" s="65"/>
      <c r="AJ883" s="65"/>
      <c r="AK883" s="65"/>
      <c r="AL883" s="65"/>
      <c r="AM883" s="65"/>
      <c r="AN883" s="65"/>
      <c r="AO883" s="65"/>
      <c r="AP883" s="65"/>
      <c r="AQ883" s="65"/>
      <c r="AR883" s="65"/>
      <c r="AS883" s="65"/>
      <c r="AT883" s="65"/>
      <c r="AU883" s="65"/>
      <c r="AV883" s="65"/>
      <c r="AW883" s="65"/>
      <c r="AX883" s="65"/>
      <c r="AY883" s="65"/>
      <c r="AZ883" s="65"/>
      <c r="BA883" s="65"/>
      <c r="BB883" s="65"/>
      <c r="BC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56"/>
      <c r="M884" s="56"/>
      <c r="N884" s="56"/>
      <c r="O884" s="56"/>
      <c r="P884" s="56"/>
      <c r="Q884" s="56"/>
      <c r="R884" s="56"/>
      <c r="S884" s="56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56"/>
      <c r="AG884" s="65"/>
      <c r="AH884" s="65"/>
      <c r="AI884" s="65"/>
      <c r="AJ884" s="65"/>
      <c r="AK884" s="65"/>
      <c r="AL884" s="65"/>
      <c r="AM884" s="65"/>
      <c r="AN884" s="65"/>
      <c r="AO884" s="65"/>
      <c r="AP884" s="65"/>
      <c r="AQ884" s="65"/>
      <c r="AR884" s="65"/>
      <c r="AS884" s="65"/>
      <c r="AT884" s="65"/>
      <c r="AU884" s="65"/>
      <c r="AV884" s="65"/>
      <c r="AW884" s="65"/>
      <c r="AX884" s="65"/>
      <c r="AY884" s="65"/>
      <c r="AZ884" s="65"/>
      <c r="BA884" s="65"/>
      <c r="BB884" s="65"/>
      <c r="BC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56"/>
      <c r="M885" s="56"/>
      <c r="N885" s="56"/>
      <c r="O885" s="56"/>
      <c r="P885" s="56"/>
      <c r="Q885" s="56"/>
      <c r="R885" s="56"/>
      <c r="S885" s="56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56"/>
      <c r="AG885" s="65"/>
      <c r="AH885" s="65"/>
      <c r="AI885" s="65"/>
      <c r="AJ885" s="65"/>
      <c r="AK885" s="65"/>
      <c r="AL885" s="65"/>
      <c r="AM885" s="65"/>
      <c r="AN885" s="65"/>
      <c r="AO885" s="65"/>
      <c r="AP885" s="65"/>
      <c r="AQ885" s="65"/>
      <c r="AR885" s="65"/>
      <c r="AS885" s="65"/>
      <c r="AT885" s="65"/>
      <c r="AU885" s="65"/>
      <c r="AV885" s="65"/>
      <c r="AW885" s="65"/>
      <c r="AX885" s="65"/>
      <c r="AY885" s="65"/>
      <c r="AZ885" s="65"/>
      <c r="BA885" s="65"/>
      <c r="BB885" s="65"/>
      <c r="BC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56"/>
      <c r="M886" s="56"/>
      <c r="N886" s="56"/>
      <c r="O886" s="56"/>
      <c r="P886" s="56"/>
      <c r="Q886" s="56"/>
      <c r="R886" s="56"/>
      <c r="S886" s="56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56"/>
      <c r="AG886" s="65"/>
      <c r="AH886" s="65"/>
      <c r="AI886" s="65"/>
      <c r="AJ886" s="65"/>
      <c r="AK886" s="65"/>
      <c r="AL886" s="65"/>
      <c r="AM886" s="65"/>
      <c r="AN886" s="65"/>
      <c r="AO886" s="65"/>
      <c r="AP886" s="65"/>
      <c r="AQ886" s="65"/>
      <c r="AR886" s="65"/>
      <c r="AS886" s="65"/>
      <c r="AT886" s="65"/>
      <c r="AU886" s="65"/>
      <c r="AV886" s="65"/>
      <c r="AW886" s="65"/>
      <c r="AX886" s="65"/>
      <c r="AY886" s="65"/>
      <c r="AZ886" s="65"/>
      <c r="BA886" s="65"/>
      <c r="BB886" s="65"/>
      <c r="BC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56"/>
      <c r="M887" s="56"/>
      <c r="N887" s="56"/>
      <c r="O887" s="56"/>
      <c r="P887" s="56"/>
      <c r="Q887" s="56"/>
      <c r="R887" s="56"/>
      <c r="S887" s="56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56"/>
      <c r="AG887" s="65"/>
      <c r="AH887" s="65"/>
      <c r="AI887" s="65"/>
      <c r="AJ887" s="65"/>
      <c r="AK887" s="65"/>
      <c r="AL887" s="65"/>
      <c r="AM887" s="65"/>
      <c r="AN887" s="65"/>
      <c r="AO887" s="65"/>
      <c r="AP887" s="65"/>
      <c r="AQ887" s="65"/>
      <c r="AR887" s="65"/>
      <c r="AS887" s="65"/>
      <c r="AT887" s="65"/>
      <c r="AU887" s="65"/>
      <c r="AV887" s="65"/>
      <c r="AW887" s="65"/>
      <c r="AX887" s="65"/>
      <c r="AY887" s="65"/>
      <c r="AZ887" s="65"/>
      <c r="BA887" s="65"/>
      <c r="BB887" s="65"/>
      <c r="BC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56"/>
      <c r="M888" s="56"/>
      <c r="N888" s="56"/>
      <c r="O888" s="56"/>
      <c r="P888" s="56"/>
      <c r="Q888" s="56"/>
      <c r="R888" s="56"/>
      <c r="S888" s="56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56"/>
      <c r="AG888" s="65"/>
      <c r="AH888" s="65"/>
      <c r="AI888" s="65"/>
      <c r="AJ888" s="65"/>
      <c r="AK888" s="65"/>
      <c r="AL888" s="65"/>
      <c r="AM888" s="65"/>
      <c r="AN888" s="65"/>
      <c r="AO888" s="65"/>
      <c r="AP888" s="65"/>
      <c r="AQ888" s="65"/>
      <c r="AR888" s="65"/>
      <c r="AS888" s="65"/>
      <c r="AT888" s="65"/>
      <c r="AU888" s="65"/>
      <c r="AV888" s="65"/>
      <c r="AW888" s="65"/>
      <c r="AX888" s="65"/>
      <c r="AY888" s="65"/>
      <c r="AZ888" s="65"/>
      <c r="BA888" s="65"/>
      <c r="BB888" s="65"/>
      <c r="BC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56"/>
      <c r="M889" s="56"/>
      <c r="N889" s="56"/>
      <c r="O889" s="56"/>
      <c r="P889" s="56"/>
      <c r="Q889" s="56"/>
      <c r="R889" s="56"/>
      <c r="S889" s="56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56"/>
      <c r="AG889" s="65"/>
      <c r="AH889" s="65"/>
      <c r="AI889" s="65"/>
      <c r="AJ889" s="65"/>
      <c r="AK889" s="65"/>
      <c r="AL889" s="65"/>
      <c r="AM889" s="65"/>
      <c r="AN889" s="65"/>
      <c r="AO889" s="65"/>
      <c r="AP889" s="65"/>
      <c r="AQ889" s="65"/>
      <c r="AR889" s="65"/>
      <c r="AS889" s="65"/>
      <c r="AT889" s="65"/>
      <c r="AU889" s="65"/>
      <c r="AV889" s="65"/>
      <c r="AW889" s="65"/>
      <c r="AX889" s="65"/>
      <c r="AY889" s="65"/>
      <c r="AZ889" s="65"/>
      <c r="BA889" s="65"/>
      <c r="BB889" s="65"/>
      <c r="BC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56"/>
      <c r="M890" s="56"/>
      <c r="N890" s="56"/>
      <c r="O890" s="56"/>
      <c r="P890" s="56"/>
      <c r="Q890" s="56"/>
      <c r="R890" s="56"/>
      <c r="S890" s="56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56"/>
      <c r="AG890" s="65"/>
      <c r="AH890" s="65"/>
      <c r="AI890" s="65"/>
      <c r="AJ890" s="65"/>
      <c r="AK890" s="65"/>
      <c r="AL890" s="65"/>
      <c r="AM890" s="65"/>
      <c r="AN890" s="65"/>
      <c r="AO890" s="65"/>
      <c r="AP890" s="65"/>
      <c r="AQ890" s="65"/>
      <c r="AR890" s="65"/>
      <c r="AS890" s="65"/>
      <c r="AT890" s="65"/>
      <c r="AU890" s="65"/>
      <c r="AV890" s="65"/>
      <c r="AW890" s="65"/>
      <c r="AX890" s="65"/>
      <c r="AY890" s="65"/>
      <c r="AZ890" s="65"/>
      <c r="BA890" s="65"/>
      <c r="BB890" s="65"/>
      <c r="BC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56"/>
      <c r="M891" s="56"/>
      <c r="N891" s="56"/>
      <c r="O891" s="56"/>
      <c r="P891" s="56"/>
      <c r="Q891" s="56"/>
      <c r="R891" s="56"/>
      <c r="S891" s="56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56"/>
      <c r="AG891" s="65"/>
      <c r="AH891" s="65"/>
      <c r="AI891" s="65"/>
      <c r="AJ891" s="65"/>
      <c r="AK891" s="65"/>
      <c r="AL891" s="65"/>
      <c r="AM891" s="65"/>
      <c r="AN891" s="65"/>
      <c r="AO891" s="65"/>
      <c r="AP891" s="65"/>
      <c r="AQ891" s="65"/>
      <c r="AR891" s="65"/>
      <c r="AS891" s="65"/>
      <c r="AT891" s="65"/>
      <c r="AU891" s="65"/>
      <c r="AV891" s="65"/>
      <c r="AW891" s="65"/>
      <c r="AX891" s="65"/>
      <c r="AY891" s="65"/>
      <c r="AZ891" s="65"/>
      <c r="BA891" s="65"/>
      <c r="BB891" s="65"/>
      <c r="BC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56"/>
      <c r="M892" s="56"/>
      <c r="N892" s="56"/>
      <c r="O892" s="56"/>
      <c r="P892" s="56"/>
      <c r="Q892" s="56"/>
      <c r="R892" s="56"/>
      <c r="S892" s="56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56"/>
      <c r="AG892" s="65"/>
      <c r="AH892" s="65"/>
      <c r="AI892" s="65"/>
      <c r="AJ892" s="65"/>
      <c r="AK892" s="65"/>
      <c r="AL892" s="65"/>
      <c r="AM892" s="65"/>
      <c r="AN892" s="65"/>
      <c r="AO892" s="65"/>
      <c r="AP892" s="65"/>
      <c r="AQ892" s="65"/>
      <c r="AR892" s="65"/>
      <c r="AS892" s="65"/>
      <c r="AT892" s="65"/>
      <c r="AU892" s="65"/>
      <c r="AV892" s="65"/>
      <c r="AW892" s="65"/>
      <c r="AX892" s="65"/>
      <c r="AY892" s="65"/>
      <c r="AZ892" s="65"/>
      <c r="BA892" s="65"/>
      <c r="BB892" s="65"/>
      <c r="BC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56"/>
      <c r="M893" s="56"/>
      <c r="N893" s="56"/>
      <c r="O893" s="56"/>
      <c r="P893" s="56"/>
      <c r="Q893" s="56"/>
      <c r="R893" s="56"/>
      <c r="S893" s="56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56"/>
      <c r="AG893" s="65"/>
      <c r="AH893" s="65"/>
      <c r="AI893" s="65"/>
      <c r="AJ893" s="65"/>
      <c r="AK893" s="65"/>
      <c r="AL893" s="65"/>
      <c r="AM893" s="65"/>
      <c r="AN893" s="65"/>
      <c r="AO893" s="65"/>
      <c r="AP893" s="65"/>
      <c r="AQ893" s="65"/>
      <c r="AR893" s="65"/>
      <c r="AS893" s="65"/>
      <c r="AT893" s="65"/>
      <c r="AU893" s="65"/>
      <c r="AV893" s="65"/>
      <c r="AW893" s="65"/>
      <c r="AX893" s="65"/>
      <c r="AY893" s="65"/>
      <c r="AZ893" s="65"/>
      <c r="BA893" s="65"/>
      <c r="BB893" s="65"/>
      <c r="BC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56"/>
      <c r="M894" s="56"/>
      <c r="N894" s="56"/>
      <c r="O894" s="56"/>
      <c r="P894" s="56"/>
      <c r="Q894" s="56"/>
      <c r="R894" s="56"/>
      <c r="S894" s="56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56"/>
      <c r="AG894" s="65"/>
      <c r="AH894" s="65"/>
      <c r="AI894" s="65"/>
      <c r="AJ894" s="65"/>
      <c r="AK894" s="65"/>
      <c r="AL894" s="65"/>
      <c r="AM894" s="65"/>
      <c r="AN894" s="65"/>
      <c r="AO894" s="65"/>
      <c r="AP894" s="65"/>
      <c r="AQ894" s="65"/>
      <c r="AR894" s="65"/>
      <c r="AS894" s="65"/>
      <c r="AT894" s="65"/>
      <c r="AU894" s="65"/>
      <c r="AV894" s="65"/>
      <c r="AW894" s="65"/>
      <c r="AX894" s="65"/>
      <c r="AY894" s="65"/>
      <c r="AZ894" s="65"/>
      <c r="BA894" s="65"/>
      <c r="BB894" s="65"/>
      <c r="BC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56"/>
      <c r="M895" s="56"/>
      <c r="N895" s="56"/>
      <c r="O895" s="56"/>
      <c r="P895" s="56"/>
      <c r="Q895" s="56"/>
      <c r="R895" s="56"/>
      <c r="S895" s="56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56"/>
      <c r="AG895" s="65"/>
      <c r="AH895" s="65"/>
      <c r="AI895" s="65"/>
      <c r="AJ895" s="65"/>
      <c r="AK895" s="65"/>
      <c r="AL895" s="65"/>
      <c r="AM895" s="65"/>
      <c r="AN895" s="65"/>
      <c r="AO895" s="65"/>
      <c r="AP895" s="65"/>
      <c r="AQ895" s="65"/>
      <c r="AR895" s="65"/>
      <c r="AS895" s="65"/>
      <c r="AT895" s="65"/>
      <c r="AU895" s="65"/>
      <c r="AV895" s="65"/>
      <c r="AW895" s="65"/>
      <c r="AX895" s="65"/>
      <c r="AY895" s="65"/>
      <c r="AZ895" s="65"/>
      <c r="BA895" s="65"/>
      <c r="BB895" s="65"/>
      <c r="BC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56"/>
      <c r="M896" s="56"/>
      <c r="N896" s="56"/>
      <c r="O896" s="56"/>
      <c r="P896" s="56"/>
      <c r="Q896" s="56"/>
      <c r="R896" s="56"/>
      <c r="S896" s="56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56"/>
      <c r="AG896" s="65"/>
      <c r="AH896" s="65"/>
      <c r="AI896" s="65"/>
      <c r="AJ896" s="65"/>
      <c r="AK896" s="65"/>
      <c r="AL896" s="65"/>
      <c r="AM896" s="65"/>
      <c r="AN896" s="65"/>
      <c r="AO896" s="65"/>
      <c r="AP896" s="65"/>
      <c r="AQ896" s="65"/>
      <c r="AR896" s="65"/>
      <c r="AS896" s="65"/>
      <c r="AT896" s="65"/>
      <c r="AU896" s="65"/>
      <c r="AV896" s="65"/>
      <c r="AW896" s="65"/>
      <c r="AX896" s="65"/>
      <c r="AY896" s="65"/>
      <c r="AZ896" s="65"/>
      <c r="BA896" s="65"/>
      <c r="BB896" s="65"/>
      <c r="BC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56"/>
      <c r="M897" s="56"/>
      <c r="N897" s="56"/>
      <c r="O897" s="56"/>
      <c r="P897" s="56"/>
      <c r="Q897" s="56"/>
      <c r="R897" s="56"/>
      <c r="S897" s="56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56"/>
      <c r="AG897" s="65"/>
      <c r="AH897" s="65"/>
      <c r="AI897" s="65"/>
      <c r="AJ897" s="65"/>
      <c r="AK897" s="65"/>
      <c r="AL897" s="65"/>
      <c r="AM897" s="65"/>
      <c r="AN897" s="65"/>
      <c r="AO897" s="65"/>
      <c r="AP897" s="65"/>
      <c r="AQ897" s="65"/>
      <c r="AR897" s="65"/>
      <c r="AS897" s="65"/>
      <c r="AT897" s="65"/>
      <c r="AU897" s="65"/>
      <c r="AV897" s="65"/>
      <c r="AW897" s="65"/>
      <c r="AX897" s="65"/>
      <c r="AY897" s="65"/>
      <c r="AZ897" s="65"/>
      <c r="BA897" s="65"/>
      <c r="BB897" s="65"/>
      <c r="BC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56"/>
      <c r="M898" s="56"/>
      <c r="N898" s="56"/>
      <c r="O898" s="56"/>
      <c r="P898" s="56"/>
      <c r="Q898" s="56"/>
      <c r="R898" s="56"/>
      <c r="S898" s="56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56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  <c r="AQ898" s="65"/>
      <c r="AR898" s="65"/>
      <c r="AS898" s="65"/>
      <c r="AT898" s="65"/>
      <c r="AU898" s="65"/>
      <c r="AV898" s="65"/>
      <c r="AW898" s="65"/>
      <c r="AX898" s="65"/>
      <c r="AY898" s="65"/>
      <c r="AZ898" s="65"/>
      <c r="BA898" s="65"/>
      <c r="BB898" s="65"/>
      <c r="BC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56"/>
      <c r="M899" s="56"/>
      <c r="N899" s="56"/>
      <c r="O899" s="56"/>
      <c r="P899" s="56"/>
      <c r="Q899" s="56"/>
      <c r="R899" s="56"/>
      <c r="S899" s="56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56"/>
      <c r="AG899" s="65"/>
      <c r="AH899" s="65"/>
      <c r="AI899" s="65"/>
      <c r="AJ899" s="65"/>
      <c r="AK899" s="65"/>
      <c r="AL899" s="65"/>
      <c r="AM899" s="65"/>
      <c r="AN899" s="65"/>
      <c r="AO899" s="65"/>
      <c r="AP899" s="65"/>
      <c r="AQ899" s="65"/>
      <c r="AR899" s="65"/>
      <c r="AS899" s="65"/>
      <c r="AT899" s="65"/>
      <c r="AU899" s="65"/>
      <c r="AV899" s="65"/>
      <c r="AW899" s="65"/>
      <c r="AX899" s="65"/>
      <c r="AY899" s="65"/>
      <c r="AZ899" s="65"/>
      <c r="BA899" s="65"/>
      <c r="BB899" s="65"/>
      <c r="BC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56"/>
      <c r="M900" s="56"/>
      <c r="N900" s="56"/>
      <c r="O900" s="56"/>
      <c r="P900" s="56"/>
      <c r="Q900" s="56"/>
      <c r="R900" s="56"/>
      <c r="S900" s="56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56"/>
      <c r="AG900" s="65"/>
      <c r="AH900" s="65"/>
      <c r="AI900" s="65"/>
      <c r="AJ900" s="65"/>
      <c r="AK900" s="65"/>
      <c r="AL900" s="65"/>
      <c r="AM900" s="65"/>
      <c r="AN900" s="65"/>
      <c r="AO900" s="65"/>
      <c r="AP900" s="65"/>
      <c r="AQ900" s="65"/>
      <c r="AR900" s="65"/>
      <c r="AS900" s="65"/>
      <c r="AT900" s="65"/>
      <c r="AU900" s="65"/>
      <c r="AV900" s="65"/>
      <c r="AW900" s="65"/>
      <c r="AX900" s="65"/>
      <c r="AY900" s="65"/>
      <c r="AZ900" s="65"/>
      <c r="BA900" s="65"/>
      <c r="BB900" s="65"/>
      <c r="BC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56"/>
      <c r="M901" s="56"/>
      <c r="N901" s="56"/>
      <c r="O901" s="56"/>
      <c r="P901" s="56"/>
      <c r="Q901" s="56"/>
      <c r="R901" s="56"/>
      <c r="S901" s="56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56"/>
      <c r="AG901" s="65"/>
      <c r="AH901" s="65"/>
      <c r="AI901" s="65"/>
      <c r="AJ901" s="65"/>
      <c r="AK901" s="65"/>
      <c r="AL901" s="65"/>
      <c r="AM901" s="65"/>
      <c r="AN901" s="65"/>
      <c r="AO901" s="65"/>
      <c r="AP901" s="65"/>
      <c r="AQ901" s="65"/>
      <c r="AR901" s="65"/>
      <c r="AS901" s="65"/>
      <c r="AT901" s="65"/>
      <c r="AU901" s="65"/>
      <c r="AV901" s="65"/>
      <c r="AW901" s="65"/>
      <c r="AX901" s="65"/>
      <c r="AY901" s="65"/>
      <c r="AZ901" s="65"/>
      <c r="BA901" s="65"/>
      <c r="BB901" s="65"/>
      <c r="BC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56"/>
      <c r="M902" s="56"/>
      <c r="N902" s="56"/>
      <c r="O902" s="56"/>
      <c r="P902" s="56"/>
      <c r="Q902" s="56"/>
      <c r="R902" s="56"/>
      <c r="S902" s="56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56"/>
      <c r="AG902" s="65"/>
      <c r="AH902" s="65"/>
      <c r="AI902" s="65"/>
      <c r="AJ902" s="65"/>
      <c r="AK902" s="65"/>
      <c r="AL902" s="65"/>
      <c r="AM902" s="65"/>
      <c r="AN902" s="65"/>
      <c r="AO902" s="65"/>
      <c r="AP902" s="65"/>
      <c r="AQ902" s="65"/>
      <c r="AR902" s="65"/>
      <c r="AS902" s="65"/>
      <c r="AT902" s="65"/>
      <c r="AU902" s="65"/>
      <c r="AV902" s="65"/>
      <c r="AW902" s="65"/>
      <c r="AX902" s="65"/>
      <c r="AY902" s="65"/>
      <c r="AZ902" s="65"/>
      <c r="BA902" s="65"/>
      <c r="BB902" s="65"/>
      <c r="BC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56"/>
      <c r="M903" s="56"/>
      <c r="N903" s="56"/>
      <c r="O903" s="56"/>
      <c r="P903" s="56"/>
      <c r="Q903" s="56"/>
      <c r="R903" s="56"/>
      <c r="S903" s="56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56"/>
      <c r="AG903" s="65"/>
      <c r="AH903" s="65"/>
      <c r="AI903" s="65"/>
      <c r="AJ903" s="65"/>
      <c r="AK903" s="65"/>
      <c r="AL903" s="65"/>
      <c r="AM903" s="65"/>
      <c r="AN903" s="65"/>
      <c r="AO903" s="65"/>
      <c r="AP903" s="65"/>
      <c r="AQ903" s="65"/>
      <c r="AR903" s="65"/>
      <c r="AS903" s="65"/>
      <c r="AT903" s="65"/>
      <c r="AU903" s="65"/>
      <c r="AV903" s="65"/>
      <c r="AW903" s="65"/>
      <c r="AX903" s="65"/>
      <c r="AY903" s="65"/>
      <c r="AZ903" s="65"/>
      <c r="BA903" s="65"/>
      <c r="BB903" s="65"/>
      <c r="BC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56"/>
      <c r="M904" s="56"/>
      <c r="N904" s="56"/>
      <c r="O904" s="56"/>
      <c r="P904" s="56"/>
      <c r="Q904" s="56"/>
      <c r="R904" s="56"/>
      <c r="S904" s="56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56"/>
      <c r="AG904" s="65"/>
      <c r="AH904" s="65"/>
      <c r="AI904" s="65"/>
      <c r="AJ904" s="65"/>
      <c r="AK904" s="65"/>
      <c r="AL904" s="65"/>
      <c r="AM904" s="65"/>
      <c r="AN904" s="65"/>
      <c r="AO904" s="65"/>
      <c r="AP904" s="65"/>
      <c r="AQ904" s="65"/>
      <c r="AR904" s="65"/>
      <c r="AS904" s="65"/>
      <c r="AT904" s="65"/>
      <c r="AU904" s="65"/>
      <c r="AV904" s="65"/>
      <c r="AW904" s="65"/>
      <c r="AX904" s="65"/>
      <c r="AY904" s="65"/>
      <c r="AZ904" s="65"/>
      <c r="BA904" s="65"/>
      <c r="BB904" s="65"/>
      <c r="BC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56"/>
      <c r="M905" s="56"/>
      <c r="N905" s="56"/>
      <c r="O905" s="56"/>
      <c r="P905" s="56"/>
      <c r="Q905" s="56"/>
      <c r="R905" s="56"/>
      <c r="S905" s="56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56"/>
      <c r="AG905" s="65"/>
      <c r="AH905" s="65"/>
      <c r="AI905" s="65"/>
      <c r="AJ905" s="65"/>
      <c r="AK905" s="65"/>
      <c r="AL905" s="65"/>
      <c r="AM905" s="65"/>
      <c r="AN905" s="65"/>
      <c r="AO905" s="65"/>
      <c r="AP905" s="65"/>
      <c r="AQ905" s="65"/>
      <c r="AR905" s="65"/>
      <c r="AS905" s="65"/>
      <c r="AT905" s="65"/>
      <c r="AU905" s="65"/>
      <c r="AV905" s="65"/>
      <c r="AW905" s="65"/>
      <c r="AX905" s="65"/>
      <c r="AY905" s="65"/>
      <c r="AZ905" s="65"/>
      <c r="BA905" s="65"/>
      <c r="BB905" s="65"/>
      <c r="BC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56"/>
      <c r="M906" s="56"/>
      <c r="N906" s="56"/>
      <c r="O906" s="56"/>
      <c r="P906" s="56"/>
      <c r="Q906" s="56"/>
      <c r="R906" s="56"/>
      <c r="S906" s="56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56"/>
      <c r="AG906" s="65"/>
      <c r="AH906" s="65"/>
      <c r="AI906" s="65"/>
      <c r="AJ906" s="65"/>
      <c r="AK906" s="65"/>
      <c r="AL906" s="65"/>
      <c r="AM906" s="65"/>
      <c r="AN906" s="65"/>
      <c r="AO906" s="65"/>
      <c r="AP906" s="65"/>
      <c r="AQ906" s="65"/>
      <c r="AR906" s="65"/>
      <c r="AS906" s="65"/>
      <c r="AT906" s="65"/>
      <c r="AU906" s="65"/>
      <c r="AV906" s="65"/>
      <c r="AW906" s="65"/>
      <c r="AX906" s="65"/>
      <c r="AY906" s="65"/>
      <c r="AZ906" s="65"/>
      <c r="BA906" s="65"/>
      <c r="BB906" s="65"/>
      <c r="BC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56"/>
      <c r="M907" s="56"/>
      <c r="N907" s="56"/>
      <c r="O907" s="56"/>
      <c r="P907" s="56"/>
      <c r="Q907" s="56"/>
      <c r="R907" s="56"/>
      <c r="S907" s="56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56"/>
      <c r="AG907" s="65"/>
      <c r="AH907" s="65"/>
      <c r="AI907" s="65"/>
      <c r="AJ907" s="65"/>
      <c r="AK907" s="65"/>
      <c r="AL907" s="65"/>
      <c r="AM907" s="65"/>
      <c r="AN907" s="65"/>
      <c r="AO907" s="65"/>
      <c r="AP907" s="65"/>
      <c r="AQ907" s="65"/>
      <c r="AR907" s="65"/>
      <c r="AS907" s="65"/>
      <c r="AT907" s="65"/>
      <c r="AU907" s="65"/>
      <c r="AV907" s="65"/>
      <c r="AW907" s="65"/>
      <c r="AX907" s="65"/>
      <c r="AY907" s="65"/>
      <c r="AZ907" s="65"/>
      <c r="BA907" s="65"/>
      <c r="BB907" s="65"/>
      <c r="BC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56"/>
      <c r="M908" s="56"/>
      <c r="N908" s="56"/>
      <c r="O908" s="56"/>
      <c r="P908" s="56"/>
      <c r="Q908" s="56"/>
      <c r="R908" s="56"/>
      <c r="S908" s="56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56"/>
      <c r="AG908" s="65"/>
      <c r="AH908" s="65"/>
      <c r="AI908" s="65"/>
      <c r="AJ908" s="65"/>
      <c r="AK908" s="65"/>
      <c r="AL908" s="65"/>
      <c r="AM908" s="65"/>
      <c r="AN908" s="65"/>
      <c r="AO908" s="65"/>
      <c r="AP908" s="65"/>
      <c r="AQ908" s="65"/>
      <c r="AR908" s="65"/>
      <c r="AS908" s="65"/>
      <c r="AT908" s="65"/>
      <c r="AU908" s="65"/>
      <c r="AV908" s="65"/>
      <c r="AW908" s="65"/>
      <c r="AX908" s="65"/>
      <c r="AY908" s="65"/>
      <c r="AZ908" s="65"/>
      <c r="BA908" s="65"/>
      <c r="BB908" s="65"/>
      <c r="BC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56"/>
      <c r="M909" s="56"/>
      <c r="N909" s="56"/>
      <c r="O909" s="56"/>
      <c r="P909" s="56"/>
      <c r="Q909" s="56"/>
      <c r="R909" s="56"/>
      <c r="S909" s="56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56"/>
      <c r="AG909" s="65"/>
      <c r="AH909" s="65"/>
      <c r="AI909" s="65"/>
      <c r="AJ909" s="65"/>
      <c r="AK909" s="65"/>
      <c r="AL909" s="65"/>
      <c r="AM909" s="65"/>
      <c r="AN909" s="65"/>
      <c r="AO909" s="65"/>
      <c r="AP909" s="65"/>
      <c r="AQ909" s="65"/>
      <c r="AR909" s="65"/>
      <c r="AS909" s="65"/>
      <c r="AT909" s="65"/>
      <c r="AU909" s="65"/>
      <c r="AV909" s="65"/>
      <c r="AW909" s="65"/>
      <c r="AX909" s="65"/>
      <c r="AY909" s="65"/>
      <c r="AZ909" s="65"/>
      <c r="BA909" s="65"/>
      <c r="BB909" s="65"/>
      <c r="BC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56"/>
      <c r="M910" s="56"/>
      <c r="N910" s="56"/>
      <c r="O910" s="56"/>
      <c r="P910" s="56"/>
      <c r="Q910" s="56"/>
      <c r="R910" s="56"/>
      <c r="S910" s="56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56"/>
      <c r="AG910" s="65"/>
      <c r="AH910" s="65"/>
      <c r="AI910" s="65"/>
      <c r="AJ910" s="65"/>
      <c r="AK910" s="65"/>
      <c r="AL910" s="65"/>
      <c r="AM910" s="65"/>
      <c r="AN910" s="65"/>
      <c r="AO910" s="65"/>
      <c r="AP910" s="65"/>
      <c r="AQ910" s="65"/>
      <c r="AR910" s="65"/>
      <c r="AS910" s="65"/>
      <c r="AT910" s="65"/>
      <c r="AU910" s="65"/>
      <c r="AV910" s="65"/>
      <c r="AW910" s="65"/>
      <c r="AX910" s="65"/>
      <c r="AY910" s="65"/>
      <c r="AZ910" s="65"/>
      <c r="BA910" s="65"/>
      <c r="BB910" s="65"/>
      <c r="BC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56"/>
      <c r="M911" s="56"/>
      <c r="N911" s="56"/>
      <c r="O911" s="56"/>
      <c r="P911" s="56"/>
      <c r="Q911" s="56"/>
      <c r="R911" s="56"/>
      <c r="S911" s="56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56"/>
      <c r="AG911" s="65"/>
      <c r="AH911" s="65"/>
      <c r="AI911" s="65"/>
      <c r="AJ911" s="65"/>
      <c r="AK911" s="65"/>
      <c r="AL911" s="65"/>
      <c r="AM911" s="65"/>
      <c r="AN911" s="65"/>
      <c r="AO911" s="65"/>
      <c r="AP911" s="65"/>
      <c r="AQ911" s="65"/>
      <c r="AR911" s="65"/>
      <c r="AS911" s="65"/>
      <c r="AT911" s="65"/>
      <c r="AU911" s="65"/>
      <c r="AV911" s="65"/>
      <c r="AW911" s="65"/>
      <c r="AX911" s="65"/>
      <c r="AY911" s="65"/>
      <c r="AZ911" s="65"/>
      <c r="BA911" s="65"/>
      <c r="BB911" s="65"/>
      <c r="BC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56"/>
      <c r="M912" s="56"/>
      <c r="N912" s="56"/>
      <c r="O912" s="56"/>
      <c r="P912" s="56"/>
      <c r="Q912" s="56"/>
      <c r="R912" s="56"/>
      <c r="S912" s="56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56"/>
      <c r="AG912" s="65"/>
      <c r="AH912" s="65"/>
      <c r="AI912" s="65"/>
      <c r="AJ912" s="65"/>
      <c r="AK912" s="65"/>
      <c r="AL912" s="65"/>
      <c r="AM912" s="65"/>
      <c r="AN912" s="65"/>
      <c r="AO912" s="65"/>
      <c r="AP912" s="65"/>
      <c r="AQ912" s="65"/>
      <c r="AR912" s="65"/>
      <c r="AS912" s="65"/>
      <c r="AT912" s="65"/>
      <c r="AU912" s="65"/>
      <c r="AV912" s="65"/>
      <c r="AW912" s="65"/>
      <c r="AX912" s="65"/>
      <c r="AY912" s="65"/>
      <c r="AZ912" s="65"/>
      <c r="BA912" s="65"/>
      <c r="BB912" s="65"/>
      <c r="BC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56"/>
      <c r="M913" s="56"/>
      <c r="N913" s="56"/>
      <c r="O913" s="56"/>
      <c r="P913" s="56"/>
      <c r="Q913" s="56"/>
      <c r="R913" s="56"/>
      <c r="S913" s="56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56"/>
      <c r="AG913" s="65"/>
      <c r="AH913" s="65"/>
      <c r="AI913" s="65"/>
      <c r="AJ913" s="65"/>
      <c r="AK913" s="65"/>
      <c r="AL913" s="65"/>
      <c r="AM913" s="65"/>
      <c r="AN913" s="65"/>
      <c r="AO913" s="65"/>
      <c r="AP913" s="65"/>
      <c r="AQ913" s="65"/>
      <c r="AR913" s="65"/>
      <c r="AS913" s="65"/>
      <c r="AT913" s="65"/>
      <c r="AU913" s="65"/>
      <c r="AV913" s="65"/>
      <c r="AW913" s="65"/>
      <c r="AX913" s="65"/>
      <c r="AY913" s="65"/>
      <c r="AZ913" s="65"/>
      <c r="BA913" s="65"/>
      <c r="BB913" s="65"/>
      <c r="BC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56"/>
      <c r="M914" s="56"/>
      <c r="N914" s="56"/>
      <c r="O914" s="56"/>
      <c r="P914" s="56"/>
      <c r="Q914" s="56"/>
      <c r="R914" s="56"/>
      <c r="S914" s="56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56"/>
      <c r="AG914" s="65"/>
      <c r="AH914" s="65"/>
      <c r="AI914" s="65"/>
      <c r="AJ914" s="65"/>
      <c r="AK914" s="65"/>
      <c r="AL914" s="65"/>
      <c r="AM914" s="65"/>
      <c r="AN914" s="65"/>
      <c r="AO914" s="65"/>
      <c r="AP914" s="65"/>
      <c r="AQ914" s="65"/>
      <c r="AR914" s="65"/>
      <c r="AS914" s="65"/>
      <c r="AT914" s="65"/>
      <c r="AU914" s="65"/>
      <c r="AV914" s="65"/>
      <c r="AW914" s="65"/>
      <c r="AX914" s="65"/>
      <c r="AY914" s="65"/>
      <c r="AZ914" s="65"/>
      <c r="BA914" s="65"/>
      <c r="BB914" s="65"/>
      <c r="BC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56"/>
      <c r="M915" s="56"/>
      <c r="N915" s="56"/>
      <c r="O915" s="56"/>
      <c r="P915" s="56"/>
      <c r="Q915" s="56"/>
      <c r="R915" s="56"/>
      <c r="S915" s="56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56"/>
      <c r="AG915" s="65"/>
      <c r="AH915" s="65"/>
      <c r="AI915" s="65"/>
      <c r="AJ915" s="65"/>
      <c r="AK915" s="65"/>
      <c r="AL915" s="65"/>
      <c r="AM915" s="65"/>
      <c r="AN915" s="65"/>
      <c r="AO915" s="65"/>
      <c r="AP915" s="65"/>
      <c r="AQ915" s="65"/>
      <c r="AR915" s="65"/>
      <c r="AS915" s="65"/>
      <c r="AT915" s="65"/>
      <c r="AU915" s="65"/>
      <c r="AV915" s="65"/>
      <c r="AW915" s="65"/>
      <c r="AX915" s="65"/>
      <c r="AY915" s="65"/>
      <c r="AZ915" s="65"/>
      <c r="BA915" s="65"/>
      <c r="BB915" s="65"/>
      <c r="BC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56"/>
      <c r="M916" s="56"/>
      <c r="N916" s="56"/>
      <c r="O916" s="56"/>
      <c r="P916" s="56"/>
      <c r="Q916" s="56"/>
      <c r="R916" s="56"/>
      <c r="S916" s="56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56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  <c r="AQ916" s="65"/>
      <c r="AR916" s="65"/>
      <c r="AS916" s="65"/>
      <c r="AT916" s="65"/>
      <c r="AU916" s="65"/>
      <c r="AV916" s="65"/>
      <c r="AW916" s="65"/>
      <c r="AX916" s="65"/>
      <c r="AY916" s="65"/>
      <c r="AZ916" s="65"/>
      <c r="BA916" s="65"/>
      <c r="BB916" s="65"/>
      <c r="BC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56"/>
      <c r="M917" s="56"/>
      <c r="N917" s="56"/>
      <c r="O917" s="56"/>
      <c r="P917" s="56"/>
      <c r="Q917" s="56"/>
      <c r="R917" s="56"/>
      <c r="S917" s="56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56"/>
      <c r="AG917" s="65"/>
      <c r="AH917" s="65"/>
      <c r="AI917" s="65"/>
      <c r="AJ917" s="65"/>
      <c r="AK917" s="65"/>
      <c r="AL917" s="65"/>
      <c r="AM917" s="65"/>
      <c r="AN917" s="65"/>
      <c r="AO917" s="65"/>
      <c r="AP917" s="65"/>
      <c r="AQ917" s="65"/>
      <c r="AR917" s="65"/>
      <c r="AS917" s="65"/>
      <c r="AT917" s="65"/>
      <c r="AU917" s="65"/>
      <c r="AV917" s="65"/>
      <c r="AW917" s="65"/>
      <c r="AX917" s="65"/>
      <c r="AY917" s="65"/>
      <c r="AZ917" s="65"/>
      <c r="BA917" s="65"/>
      <c r="BB917" s="65"/>
      <c r="BC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56"/>
      <c r="M918" s="56"/>
      <c r="N918" s="56"/>
      <c r="O918" s="56"/>
      <c r="P918" s="56"/>
      <c r="Q918" s="56"/>
      <c r="R918" s="56"/>
      <c r="S918" s="56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56"/>
      <c r="AG918" s="65"/>
      <c r="AH918" s="65"/>
      <c r="AI918" s="65"/>
      <c r="AJ918" s="65"/>
      <c r="AK918" s="65"/>
      <c r="AL918" s="65"/>
      <c r="AM918" s="65"/>
      <c r="AN918" s="65"/>
      <c r="AO918" s="65"/>
      <c r="AP918" s="65"/>
      <c r="AQ918" s="65"/>
      <c r="AR918" s="65"/>
      <c r="AS918" s="65"/>
      <c r="AT918" s="65"/>
      <c r="AU918" s="65"/>
      <c r="AV918" s="65"/>
      <c r="AW918" s="65"/>
      <c r="AX918" s="65"/>
      <c r="AY918" s="65"/>
      <c r="AZ918" s="65"/>
      <c r="BA918" s="65"/>
      <c r="BB918" s="65"/>
      <c r="BC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56"/>
      <c r="M919" s="56"/>
      <c r="N919" s="56"/>
      <c r="O919" s="56"/>
      <c r="P919" s="56"/>
      <c r="Q919" s="56"/>
      <c r="R919" s="56"/>
      <c r="S919" s="56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56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  <c r="AQ919" s="65"/>
      <c r="AR919" s="65"/>
      <c r="AS919" s="65"/>
      <c r="AT919" s="65"/>
      <c r="AU919" s="65"/>
      <c r="AV919" s="65"/>
      <c r="AW919" s="65"/>
      <c r="AX919" s="65"/>
      <c r="AY919" s="65"/>
      <c r="AZ919" s="65"/>
      <c r="BA919" s="65"/>
      <c r="BB919" s="65"/>
      <c r="BC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56"/>
      <c r="M920" s="56"/>
      <c r="N920" s="56"/>
      <c r="O920" s="56"/>
      <c r="P920" s="56"/>
      <c r="Q920" s="56"/>
      <c r="R920" s="56"/>
      <c r="S920" s="56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56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  <c r="AQ920" s="65"/>
      <c r="AR920" s="65"/>
      <c r="AS920" s="65"/>
      <c r="AT920" s="65"/>
      <c r="AU920" s="65"/>
      <c r="AV920" s="65"/>
      <c r="AW920" s="65"/>
      <c r="AX920" s="65"/>
      <c r="AY920" s="65"/>
      <c r="AZ920" s="65"/>
      <c r="BA920" s="65"/>
      <c r="BB920" s="65"/>
      <c r="BC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56"/>
      <c r="M921" s="56"/>
      <c r="N921" s="56"/>
      <c r="O921" s="56"/>
      <c r="P921" s="56"/>
      <c r="Q921" s="56"/>
      <c r="R921" s="56"/>
      <c r="S921" s="56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56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  <c r="AQ921" s="65"/>
      <c r="AR921" s="65"/>
      <c r="AS921" s="65"/>
      <c r="AT921" s="65"/>
      <c r="AU921" s="65"/>
      <c r="AV921" s="65"/>
      <c r="AW921" s="65"/>
      <c r="AX921" s="65"/>
      <c r="AY921" s="65"/>
      <c r="AZ921" s="65"/>
      <c r="BA921" s="65"/>
      <c r="BB921" s="65"/>
      <c r="BC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56"/>
      <c r="M922" s="56"/>
      <c r="N922" s="56"/>
      <c r="O922" s="56"/>
      <c r="P922" s="56"/>
      <c r="Q922" s="56"/>
      <c r="R922" s="56"/>
      <c r="S922" s="56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56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  <c r="AQ922" s="65"/>
      <c r="AR922" s="65"/>
      <c r="AS922" s="65"/>
      <c r="AT922" s="65"/>
      <c r="AU922" s="65"/>
      <c r="AV922" s="65"/>
      <c r="AW922" s="65"/>
      <c r="AX922" s="65"/>
      <c r="AY922" s="65"/>
      <c r="AZ922" s="65"/>
      <c r="BA922" s="65"/>
      <c r="BB922" s="65"/>
      <c r="BC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56"/>
      <c r="M923" s="56"/>
      <c r="N923" s="56"/>
      <c r="O923" s="56"/>
      <c r="P923" s="56"/>
      <c r="Q923" s="56"/>
      <c r="R923" s="56"/>
      <c r="S923" s="56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56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  <c r="AQ923" s="65"/>
      <c r="AR923" s="65"/>
      <c r="AS923" s="65"/>
      <c r="AT923" s="65"/>
      <c r="AU923" s="65"/>
      <c r="AV923" s="65"/>
      <c r="AW923" s="65"/>
      <c r="AX923" s="65"/>
      <c r="AY923" s="65"/>
      <c r="AZ923" s="65"/>
      <c r="BA923" s="65"/>
      <c r="BB923" s="65"/>
      <c r="BC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56"/>
      <c r="M924" s="56"/>
      <c r="N924" s="56"/>
      <c r="O924" s="56"/>
      <c r="P924" s="56"/>
      <c r="Q924" s="56"/>
      <c r="R924" s="56"/>
      <c r="S924" s="56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56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  <c r="AQ924" s="65"/>
      <c r="AR924" s="65"/>
      <c r="AS924" s="65"/>
      <c r="AT924" s="65"/>
      <c r="AU924" s="65"/>
      <c r="AV924" s="65"/>
      <c r="AW924" s="65"/>
      <c r="AX924" s="65"/>
      <c r="AY924" s="65"/>
      <c r="AZ924" s="65"/>
      <c r="BA924" s="65"/>
      <c r="BB924" s="65"/>
      <c r="BC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56"/>
      <c r="M925" s="56"/>
      <c r="N925" s="56"/>
      <c r="O925" s="56"/>
      <c r="P925" s="56"/>
      <c r="Q925" s="56"/>
      <c r="R925" s="56"/>
      <c r="S925" s="56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56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  <c r="AQ925" s="65"/>
      <c r="AR925" s="65"/>
      <c r="AS925" s="65"/>
      <c r="AT925" s="65"/>
      <c r="AU925" s="65"/>
      <c r="AV925" s="65"/>
      <c r="AW925" s="65"/>
      <c r="AX925" s="65"/>
      <c r="AY925" s="65"/>
      <c r="AZ925" s="65"/>
      <c r="BA925" s="65"/>
      <c r="BB925" s="65"/>
      <c r="BC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56"/>
      <c r="M926" s="56"/>
      <c r="N926" s="56"/>
      <c r="O926" s="56"/>
      <c r="P926" s="56"/>
      <c r="Q926" s="56"/>
      <c r="R926" s="56"/>
      <c r="S926" s="56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56"/>
      <c r="AG926" s="65"/>
      <c r="AH926" s="65"/>
      <c r="AI926" s="65"/>
      <c r="AJ926" s="65"/>
      <c r="AK926" s="65"/>
      <c r="AL926" s="65"/>
      <c r="AM926" s="65"/>
      <c r="AN926" s="65"/>
      <c r="AO926" s="65"/>
      <c r="AP926" s="65"/>
      <c r="AQ926" s="65"/>
      <c r="AR926" s="65"/>
      <c r="AS926" s="65"/>
      <c r="AT926" s="65"/>
      <c r="AU926" s="65"/>
      <c r="AV926" s="65"/>
      <c r="AW926" s="65"/>
      <c r="AX926" s="65"/>
      <c r="AY926" s="65"/>
      <c r="AZ926" s="65"/>
      <c r="BA926" s="65"/>
      <c r="BB926" s="65"/>
      <c r="BC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56"/>
      <c r="M927" s="56"/>
      <c r="N927" s="56"/>
      <c r="O927" s="56"/>
      <c r="P927" s="56"/>
      <c r="Q927" s="56"/>
      <c r="R927" s="56"/>
      <c r="S927" s="56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56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  <c r="AQ927" s="65"/>
      <c r="AR927" s="65"/>
      <c r="AS927" s="65"/>
      <c r="AT927" s="65"/>
      <c r="AU927" s="65"/>
      <c r="AV927" s="65"/>
      <c r="AW927" s="65"/>
      <c r="AX927" s="65"/>
      <c r="AY927" s="65"/>
      <c r="AZ927" s="65"/>
      <c r="BA927" s="65"/>
      <c r="BB927" s="65"/>
      <c r="BC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56"/>
      <c r="M928" s="56"/>
      <c r="N928" s="56"/>
      <c r="O928" s="56"/>
      <c r="P928" s="56"/>
      <c r="Q928" s="56"/>
      <c r="R928" s="56"/>
      <c r="S928" s="56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56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  <c r="AQ928" s="65"/>
      <c r="AR928" s="65"/>
      <c r="AS928" s="65"/>
      <c r="AT928" s="65"/>
      <c r="AU928" s="65"/>
      <c r="AV928" s="65"/>
      <c r="AW928" s="65"/>
      <c r="AX928" s="65"/>
      <c r="AY928" s="65"/>
      <c r="AZ928" s="65"/>
      <c r="BA928" s="65"/>
      <c r="BB928" s="65"/>
      <c r="BC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56"/>
      <c r="M929" s="56"/>
      <c r="N929" s="56"/>
      <c r="O929" s="56"/>
      <c r="P929" s="56"/>
      <c r="Q929" s="56"/>
      <c r="R929" s="56"/>
      <c r="S929" s="56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56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  <c r="AQ929" s="65"/>
      <c r="AR929" s="65"/>
      <c r="AS929" s="65"/>
      <c r="AT929" s="65"/>
      <c r="AU929" s="65"/>
      <c r="AV929" s="65"/>
      <c r="AW929" s="65"/>
      <c r="AX929" s="65"/>
      <c r="AY929" s="65"/>
      <c r="AZ929" s="65"/>
      <c r="BA929" s="65"/>
      <c r="BB929" s="65"/>
      <c r="BC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56"/>
      <c r="M930" s="56"/>
      <c r="N930" s="56"/>
      <c r="O930" s="56"/>
      <c r="P930" s="56"/>
      <c r="Q930" s="56"/>
      <c r="R930" s="56"/>
      <c r="S930" s="56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56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  <c r="AQ930" s="65"/>
      <c r="AR930" s="65"/>
      <c r="AS930" s="65"/>
      <c r="AT930" s="65"/>
      <c r="AU930" s="65"/>
      <c r="AV930" s="65"/>
      <c r="AW930" s="65"/>
      <c r="AX930" s="65"/>
      <c r="AY930" s="65"/>
      <c r="AZ930" s="65"/>
      <c r="BA930" s="65"/>
      <c r="BB930" s="65"/>
      <c r="BC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56"/>
      <c r="M931" s="56"/>
      <c r="N931" s="56"/>
      <c r="O931" s="56"/>
      <c r="P931" s="56"/>
      <c r="Q931" s="56"/>
      <c r="R931" s="56"/>
      <c r="S931" s="56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56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  <c r="AQ931" s="65"/>
      <c r="AR931" s="65"/>
      <c r="AS931" s="65"/>
      <c r="AT931" s="65"/>
      <c r="AU931" s="65"/>
      <c r="AV931" s="65"/>
      <c r="AW931" s="65"/>
      <c r="AX931" s="65"/>
      <c r="AY931" s="65"/>
      <c r="AZ931" s="65"/>
      <c r="BA931" s="65"/>
      <c r="BB931" s="65"/>
      <c r="BC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56"/>
      <c r="M932" s="56"/>
      <c r="N932" s="56"/>
      <c r="O932" s="56"/>
      <c r="P932" s="56"/>
      <c r="Q932" s="56"/>
      <c r="R932" s="56"/>
      <c r="S932" s="56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56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  <c r="AQ932" s="65"/>
      <c r="AR932" s="65"/>
      <c r="AS932" s="65"/>
      <c r="AT932" s="65"/>
      <c r="AU932" s="65"/>
      <c r="AV932" s="65"/>
      <c r="AW932" s="65"/>
      <c r="AX932" s="65"/>
      <c r="AY932" s="65"/>
      <c r="AZ932" s="65"/>
      <c r="BA932" s="65"/>
      <c r="BB932" s="65"/>
      <c r="BC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56"/>
      <c r="M933" s="56"/>
      <c r="N933" s="56"/>
      <c r="O933" s="56"/>
      <c r="P933" s="56"/>
      <c r="Q933" s="56"/>
      <c r="R933" s="56"/>
      <c r="S933" s="56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56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  <c r="AQ933" s="65"/>
      <c r="AR933" s="65"/>
      <c r="AS933" s="65"/>
      <c r="AT933" s="65"/>
      <c r="AU933" s="65"/>
      <c r="AV933" s="65"/>
      <c r="AW933" s="65"/>
      <c r="AX933" s="65"/>
      <c r="AY933" s="65"/>
      <c r="AZ933" s="65"/>
      <c r="BA933" s="65"/>
      <c r="BB933" s="65"/>
      <c r="BC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56"/>
      <c r="M934" s="56"/>
      <c r="N934" s="56"/>
      <c r="O934" s="56"/>
      <c r="P934" s="56"/>
      <c r="Q934" s="56"/>
      <c r="R934" s="56"/>
      <c r="S934" s="56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56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  <c r="AQ934" s="65"/>
      <c r="AR934" s="65"/>
      <c r="AS934" s="65"/>
      <c r="AT934" s="65"/>
      <c r="AU934" s="65"/>
      <c r="AV934" s="65"/>
      <c r="AW934" s="65"/>
      <c r="AX934" s="65"/>
      <c r="AY934" s="65"/>
      <c r="AZ934" s="65"/>
      <c r="BA934" s="65"/>
      <c r="BB934" s="65"/>
      <c r="BC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56"/>
      <c r="M935" s="56"/>
      <c r="N935" s="56"/>
      <c r="O935" s="56"/>
      <c r="P935" s="56"/>
      <c r="Q935" s="56"/>
      <c r="R935" s="56"/>
      <c r="S935" s="56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56"/>
      <c r="AG935" s="65"/>
      <c r="AH935" s="65"/>
      <c r="AI935" s="65"/>
      <c r="AJ935" s="65"/>
      <c r="AK935" s="65"/>
      <c r="AL935" s="65"/>
      <c r="AM935" s="65"/>
      <c r="AN935" s="65"/>
      <c r="AO935" s="65"/>
      <c r="AP935" s="65"/>
      <c r="AQ935" s="65"/>
      <c r="AR935" s="65"/>
      <c r="AS935" s="65"/>
      <c r="AT935" s="65"/>
      <c r="AU935" s="65"/>
      <c r="AV935" s="65"/>
      <c r="AW935" s="65"/>
      <c r="AX935" s="65"/>
      <c r="AY935" s="65"/>
      <c r="AZ935" s="65"/>
      <c r="BA935" s="65"/>
      <c r="BB935" s="65"/>
      <c r="BC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56"/>
      <c r="M936" s="56"/>
      <c r="N936" s="56"/>
      <c r="O936" s="56"/>
      <c r="P936" s="56"/>
      <c r="Q936" s="56"/>
      <c r="R936" s="56"/>
      <c r="S936" s="56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56"/>
      <c r="AG936" s="65"/>
      <c r="AH936" s="65"/>
      <c r="AI936" s="65"/>
      <c r="AJ936" s="65"/>
      <c r="AK936" s="65"/>
      <c r="AL936" s="65"/>
      <c r="AM936" s="65"/>
      <c r="AN936" s="65"/>
      <c r="AO936" s="65"/>
      <c r="AP936" s="65"/>
      <c r="AQ936" s="65"/>
      <c r="AR936" s="65"/>
      <c r="AS936" s="65"/>
      <c r="AT936" s="65"/>
      <c r="AU936" s="65"/>
      <c r="AV936" s="65"/>
      <c r="AW936" s="65"/>
      <c r="AX936" s="65"/>
      <c r="AY936" s="65"/>
      <c r="AZ936" s="65"/>
      <c r="BA936" s="65"/>
      <c r="BB936" s="65"/>
      <c r="BC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56"/>
      <c r="M937" s="56"/>
      <c r="N937" s="56"/>
      <c r="O937" s="56"/>
      <c r="P937" s="56"/>
      <c r="Q937" s="56"/>
      <c r="R937" s="56"/>
      <c r="S937" s="56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56"/>
      <c r="AG937" s="65"/>
      <c r="AH937" s="65"/>
      <c r="AI937" s="65"/>
      <c r="AJ937" s="65"/>
      <c r="AK937" s="65"/>
      <c r="AL937" s="65"/>
      <c r="AM937" s="65"/>
      <c r="AN937" s="65"/>
      <c r="AO937" s="65"/>
      <c r="AP937" s="65"/>
      <c r="AQ937" s="65"/>
      <c r="AR937" s="65"/>
      <c r="AS937" s="65"/>
      <c r="AT937" s="65"/>
      <c r="AU937" s="65"/>
      <c r="AV937" s="65"/>
      <c r="AW937" s="65"/>
      <c r="AX937" s="65"/>
      <c r="AY937" s="65"/>
      <c r="AZ937" s="65"/>
      <c r="BA937" s="65"/>
      <c r="BB937" s="65"/>
      <c r="BC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56"/>
      <c r="M938" s="56"/>
      <c r="N938" s="56"/>
      <c r="O938" s="56"/>
      <c r="P938" s="56"/>
      <c r="Q938" s="56"/>
      <c r="R938" s="56"/>
      <c r="S938" s="56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56"/>
      <c r="AG938" s="65"/>
      <c r="AH938" s="65"/>
      <c r="AI938" s="65"/>
      <c r="AJ938" s="65"/>
      <c r="AK938" s="65"/>
      <c r="AL938" s="65"/>
      <c r="AM938" s="65"/>
      <c r="AN938" s="65"/>
      <c r="AO938" s="65"/>
      <c r="AP938" s="65"/>
      <c r="AQ938" s="65"/>
      <c r="AR938" s="65"/>
      <c r="AS938" s="65"/>
      <c r="AT938" s="65"/>
      <c r="AU938" s="65"/>
      <c r="AV938" s="65"/>
      <c r="AW938" s="65"/>
      <c r="AX938" s="65"/>
      <c r="AY938" s="65"/>
      <c r="AZ938" s="65"/>
      <c r="BA938" s="65"/>
      <c r="BB938" s="65"/>
      <c r="BC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56"/>
      <c r="M939" s="56"/>
      <c r="N939" s="56"/>
      <c r="O939" s="56"/>
      <c r="P939" s="56"/>
      <c r="Q939" s="56"/>
      <c r="R939" s="56"/>
      <c r="S939" s="56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56"/>
      <c r="AG939" s="65"/>
      <c r="AH939" s="65"/>
      <c r="AI939" s="65"/>
      <c r="AJ939" s="65"/>
      <c r="AK939" s="65"/>
      <c r="AL939" s="65"/>
      <c r="AM939" s="65"/>
      <c r="AN939" s="65"/>
      <c r="AO939" s="65"/>
      <c r="AP939" s="65"/>
      <c r="AQ939" s="65"/>
      <c r="AR939" s="65"/>
      <c r="AS939" s="65"/>
      <c r="AT939" s="65"/>
      <c r="AU939" s="65"/>
      <c r="AV939" s="65"/>
      <c r="AW939" s="65"/>
      <c r="AX939" s="65"/>
      <c r="AY939" s="65"/>
      <c r="AZ939" s="65"/>
      <c r="BA939" s="65"/>
      <c r="BB939" s="65"/>
      <c r="BC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56"/>
      <c r="M940" s="56"/>
      <c r="N940" s="56"/>
      <c r="O940" s="56"/>
      <c r="P940" s="56"/>
      <c r="Q940" s="56"/>
      <c r="R940" s="56"/>
      <c r="S940" s="56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56"/>
      <c r="AG940" s="65"/>
      <c r="AH940" s="65"/>
      <c r="AI940" s="65"/>
      <c r="AJ940" s="65"/>
      <c r="AK940" s="65"/>
      <c r="AL940" s="65"/>
      <c r="AM940" s="65"/>
      <c r="AN940" s="65"/>
      <c r="AO940" s="65"/>
      <c r="AP940" s="65"/>
      <c r="AQ940" s="65"/>
      <c r="AR940" s="65"/>
      <c r="AS940" s="65"/>
      <c r="AT940" s="65"/>
      <c r="AU940" s="65"/>
      <c r="AV940" s="65"/>
      <c r="AW940" s="65"/>
      <c r="AX940" s="65"/>
      <c r="AY940" s="65"/>
      <c r="AZ940" s="65"/>
      <c r="BA940" s="65"/>
      <c r="BB940" s="65"/>
      <c r="BC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56"/>
      <c r="M941" s="56"/>
      <c r="N941" s="56"/>
      <c r="O941" s="56"/>
      <c r="P941" s="56"/>
      <c r="Q941" s="56"/>
      <c r="R941" s="56"/>
      <c r="S941" s="56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56"/>
      <c r="AG941" s="65"/>
      <c r="AH941" s="65"/>
      <c r="AI941" s="65"/>
      <c r="AJ941" s="65"/>
      <c r="AK941" s="65"/>
      <c r="AL941" s="65"/>
      <c r="AM941" s="65"/>
      <c r="AN941" s="65"/>
      <c r="AO941" s="65"/>
      <c r="AP941" s="65"/>
      <c r="AQ941" s="65"/>
      <c r="AR941" s="65"/>
      <c r="AS941" s="65"/>
      <c r="AT941" s="65"/>
      <c r="AU941" s="65"/>
      <c r="AV941" s="65"/>
      <c r="AW941" s="65"/>
      <c r="AX941" s="65"/>
      <c r="AY941" s="65"/>
      <c r="AZ941" s="65"/>
      <c r="BA941" s="65"/>
      <c r="BB941" s="65"/>
      <c r="BC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56"/>
      <c r="M942" s="56"/>
      <c r="N942" s="56"/>
      <c r="O942" s="56"/>
      <c r="P942" s="56"/>
      <c r="Q942" s="56"/>
      <c r="R942" s="56"/>
      <c r="S942" s="56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56"/>
      <c r="AG942" s="65"/>
      <c r="AH942" s="65"/>
      <c r="AI942" s="65"/>
      <c r="AJ942" s="65"/>
      <c r="AK942" s="65"/>
      <c r="AL942" s="65"/>
      <c r="AM942" s="65"/>
      <c r="AN942" s="65"/>
      <c r="AO942" s="65"/>
      <c r="AP942" s="65"/>
      <c r="AQ942" s="65"/>
      <c r="AR942" s="65"/>
      <c r="AS942" s="65"/>
      <c r="AT942" s="65"/>
      <c r="AU942" s="65"/>
      <c r="AV942" s="65"/>
      <c r="AW942" s="65"/>
      <c r="AX942" s="65"/>
      <c r="AY942" s="65"/>
      <c r="AZ942" s="65"/>
      <c r="BA942" s="65"/>
      <c r="BB942" s="65"/>
      <c r="BC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56"/>
      <c r="M943" s="56"/>
      <c r="N943" s="56"/>
      <c r="O943" s="56"/>
      <c r="P943" s="56"/>
      <c r="Q943" s="56"/>
      <c r="R943" s="56"/>
      <c r="S943" s="56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56"/>
      <c r="AG943" s="65"/>
      <c r="AH943" s="65"/>
      <c r="AI943" s="65"/>
      <c r="AJ943" s="65"/>
      <c r="AK943" s="65"/>
      <c r="AL943" s="65"/>
      <c r="AM943" s="65"/>
      <c r="AN943" s="65"/>
      <c r="AO943" s="65"/>
      <c r="AP943" s="65"/>
      <c r="AQ943" s="65"/>
      <c r="AR943" s="65"/>
      <c r="AS943" s="65"/>
      <c r="AT943" s="65"/>
      <c r="AU943" s="65"/>
      <c r="AV943" s="65"/>
      <c r="AW943" s="65"/>
      <c r="AX943" s="65"/>
      <c r="AY943" s="65"/>
      <c r="AZ943" s="65"/>
      <c r="BA943" s="65"/>
      <c r="BB943" s="65"/>
      <c r="BC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56"/>
      <c r="M944" s="56"/>
      <c r="N944" s="56"/>
      <c r="O944" s="56"/>
      <c r="P944" s="56"/>
      <c r="Q944" s="56"/>
      <c r="R944" s="56"/>
      <c r="S944" s="56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56"/>
      <c r="AG944" s="65"/>
      <c r="AH944" s="65"/>
      <c r="AI944" s="65"/>
      <c r="AJ944" s="65"/>
      <c r="AK944" s="65"/>
      <c r="AL944" s="65"/>
      <c r="AM944" s="65"/>
      <c r="AN944" s="65"/>
      <c r="AO944" s="65"/>
      <c r="AP944" s="65"/>
      <c r="AQ944" s="65"/>
      <c r="AR944" s="65"/>
      <c r="AS944" s="65"/>
      <c r="AT944" s="65"/>
      <c r="AU944" s="65"/>
      <c r="AV944" s="65"/>
      <c r="AW944" s="65"/>
      <c r="AX944" s="65"/>
      <c r="AY944" s="65"/>
      <c r="AZ944" s="65"/>
      <c r="BA944" s="65"/>
      <c r="BB944" s="65"/>
      <c r="BC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56"/>
      <c r="M945" s="56"/>
      <c r="N945" s="56"/>
      <c r="O945" s="56"/>
      <c r="P945" s="56"/>
      <c r="Q945" s="56"/>
      <c r="R945" s="56"/>
      <c r="S945" s="56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56"/>
      <c r="AG945" s="65"/>
      <c r="AH945" s="65"/>
      <c r="AI945" s="65"/>
      <c r="AJ945" s="65"/>
      <c r="AK945" s="65"/>
      <c r="AL945" s="65"/>
      <c r="AM945" s="65"/>
      <c r="AN945" s="65"/>
      <c r="AO945" s="65"/>
      <c r="AP945" s="65"/>
      <c r="AQ945" s="65"/>
      <c r="AR945" s="65"/>
      <c r="AS945" s="65"/>
      <c r="AT945" s="65"/>
      <c r="AU945" s="65"/>
      <c r="AV945" s="65"/>
      <c r="AW945" s="65"/>
      <c r="AX945" s="65"/>
      <c r="AY945" s="65"/>
      <c r="AZ945" s="65"/>
      <c r="BA945" s="65"/>
      <c r="BB945" s="65"/>
      <c r="BC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56"/>
      <c r="M946" s="56"/>
      <c r="N946" s="56"/>
      <c r="O946" s="56"/>
      <c r="P946" s="56"/>
      <c r="Q946" s="56"/>
      <c r="R946" s="56"/>
      <c r="S946" s="56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56"/>
      <c r="AG946" s="65"/>
      <c r="AH946" s="65"/>
      <c r="AI946" s="65"/>
      <c r="AJ946" s="65"/>
      <c r="AK946" s="65"/>
      <c r="AL946" s="65"/>
      <c r="AM946" s="65"/>
      <c r="AN946" s="65"/>
      <c r="AO946" s="65"/>
      <c r="AP946" s="65"/>
      <c r="AQ946" s="65"/>
      <c r="AR946" s="65"/>
      <c r="AS946" s="65"/>
      <c r="AT946" s="65"/>
      <c r="AU946" s="65"/>
      <c r="AV946" s="65"/>
      <c r="AW946" s="65"/>
      <c r="AX946" s="65"/>
      <c r="AY946" s="65"/>
      <c r="AZ946" s="65"/>
      <c r="BA946" s="65"/>
      <c r="BB946" s="65"/>
      <c r="BC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56"/>
      <c r="M947" s="56"/>
      <c r="N947" s="56"/>
      <c r="O947" s="56"/>
      <c r="P947" s="56"/>
      <c r="Q947" s="56"/>
      <c r="R947" s="56"/>
      <c r="S947" s="56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56"/>
      <c r="AG947" s="65"/>
      <c r="AH947" s="65"/>
      <c r="AI947" s="65"/>
      <c r="AJ947" s="65"/>
      <c r="AK947" s="65"/>
      <c r="AL947" s="65"/>
      <c r="AM947" s="65"/>
      <c r="AN947" s="65"/>
      <c r="AO947" s="65"/>
      <c r="AP947" s="65"/>
      <c r="AQ947" s="65"/>
      <c r="AR947" s="65"/>
      <c r="AS947" s="65"/>
      <c r="AT947" s="65"/>
      <c r="AU947" s="65"/>
      <c r="AV947" s="65"/>
      <c r="AW947" s="65"/>
      <c r="AX947" s="65"/>
      <c r="AY947" s="65"/>
      <c r="AZ947" s="65"/>
      <c r="BA947" s="65"/>
      <c r="BB947" s="65"/>
      <c r="BC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56"/>
      <c r="M948" s="56"/>
      <c r="N948" s="56"/>
      <c r="O948" s="56"/>
      <c r="P948" s="56"/>
      <c r="Q948" s="56"/>
      <c r="R948" s="56"/>
      <c r="S948" s="56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56"/>
      <c r="AG948" s="65"/>
      <c r="AH948" s="65"/>
      <c r="AI948" s="65"/>
      <c r="AJ948" s="65"/>
      <c r="AK948" s="65"/>
      <c r="AL948" s="65"/>
      <c r="AM948" s="65"/>
      <c r="AN948" s="65"/>
      <c r="AO948" s="65"/>
      <c r="AP948" s="65"/>
      <c r="AQ948" s="65"/>
      <c r="AR948" s="65"/>
      <c r="AS948" s="65"/>
      <c r="AT948" s="65"/>
      <c r="AU948" s="65"/>
      <c r="AV948" s="65"/>
      <c r="AW948" s="65"/>
      <c r="AX948" s="65"/>
      <c r="AY948" s="65"/>
      <c r="AZ948" s="65"/>
      <c r="BA948" s="65"/>
      <c r="BB948" s="65"/>
      <c r="BC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56"/>
      <c r="M949" s="56"/>
      <c r="N949" s="56"/>
      <c r="O949" s="56"/>
      <c r="P949" s="56"/>
      <c r="Q949" s="56"/>
      <c r="R949" s="56"/>
      <c r="S949" s="56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56"/>
      <c r="AG949" s="65"/>
      <c r="AH949" s="65"/>
      <c r="AI949" s="65"/>
      <c r="AJ949" s="65"/>
      <c r="AK949" s="65"/>
      <c r="AL949" s="65"/>
      <c r="AM949" s="65"/>
      <c r="AN949" s="65"/>
      <c r="AO949" s="65"/>
      <c r="AP949" s="65"/>
      <c r="AQ949" s="65"/>
      <c r="AR949" s="65"/>
      <c r="AS949" s="65"/>
      <c r="AT949" s="65"/>
      <c r="AU949" s="65"/>
      <c r="AV949" s="65"/>
      <c r="AW949" s="65"/>
      <c r="AX949" s="65"/>
      <c r="AY949" s="65"/>
      <c r="AZ949" s="65"/>
      <c r="BA949" s="65"/>
      <c r="BB949" s="65"/>
      <c r="BC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56"/>
      <c r="M950" s="56"/>
      <c r="N950" s="56"/>
      <c r="O950" s="56"/>
      <c r="P950" s="56"/>
      <c r="Q950" s="56"/>
      <c r="R950" s="56"/>
      <c r="S950" s="56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56"/>
      <c r="AG950" s="65"/>
      <c r="AH950" s="65"/>
      <c r="AI950" s="65"/>
      <c r="AJ950" s="65"/>
      <c r="AK950" s="65"/>
      <c r="AL950" s="65"/>
      <c r="AM950" s="65"/>
      <c r="AN950" s="65"/>
      <c r="AO950" s="65"/>
      <c r="AP950" s="65"/>
      <c r="AQ950" s="65"/>
      <c r="AR950" s="65"/>
      <c r="AS950" s="65"/>
      <c r="AT950" s="65"/>
      <c r="AU950" s="65"/>
      <c r="AV950" s="65"/>
      <c r="AW950" s="65"/>
      <c r="AX950" s="65"/>
      <c r="AY950" s="65"/>
      <c r="AZ950" s="65"/>
      <c r="BA950" s="65"/>
      <c r="BB950" s="65"/>
      <c r="BC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56"/>
      <c r="M951" s="56"/>
      <c r="N951" s="56"/>
      <c r="O951" s="56"/>
      <c r="P951" s="56"/>
      <c r="Q951" s="56"/>
      <c r="R951" s="56"/>
      <c r="S951" s="56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56"/>
      <c r="AG951" s="65"/>
      <c r="AH951" s="65"/>
      <c r="AI951" s="65"/>
      <c r="AJ951" s="65"/>
      <c r="AK951" s="65"/>
      <c r="AL951" s="65"/>
      <c r="AM951" s="65"/>
      <c r="AN951" s="65"/>
      <c r="AO951" s="65"/>
      <c r="AP951" s="65"/>
      <c r="AQ951" s="65"/>
      <c r="AR951" s="65"/>
      <c r="AS951" s="65"/>
      <c r="AT951" s="65"/>
      <c r="AU951" s="65"/>
      <c r="AV951" s="65"/>
      <c r="AW951" s="65"/>
      <c r="AX951" s="65"/>
      <c r="AY951" s="65"/>
      <c r="AZ951" s="65"/>
      <c r="BA951" s="65"/>
      <c r="BB951" s="65"/>
      <c r="BC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56"/>
      <c r="M952" s="56"/>
      <c r="N952" s="56"/>
      <c r="O952" s="56"/>
      <c r="P952" s="56"/>
      <c r="Q952" s="56"/>
      <c r="R952" s="56"/>
      <c r="S952" s="56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56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  <c r="AQ952" s="65"/>
      <c r="AR952" s="65"/>
      <c r="AS952" s="65"/>
      <c r="AT952" s="65"/>
      <c r="AU952" s="65"/>
      <c r="AV952" s="65"/>
      <c r="AW952" s="65"/>
      <c r="AX952" s="65"/>
      <c r="AY952" s="65"/>
      <c r="AZ952" s="65"/>
      <c r="BA952" s="65"/>
      <c r="BB952" s="65"/>
      <c r="BC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56"/>
      <c r="M953" s="56"/>
      <c r="N953" s="56"/>
      <c r="O953" s="56"/>
      <c r="P953" s="56"/>
      <c r="Q953" s="56"/>
      <c r="R953" s="56"/>
      <c r="S953" s="56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56"/>
      <c r="AG953" s="65"/>
      <c r="AH953" s="65"/>
      <c r="AI953" s="65"/>
      <c r="AJ953" s="65"/>
      <c r="AK953" s="65"/>
      <c r="AL953" s="65"/>
      <c r="AM953" s="65"/>
      <c r="AN953" s="65"/>
      <c r="AO953" s="65"/>
      <c r="AP953" s="65"/>
      <c r="AQ953" s="65"/>
      <c r="AR953" s="65"/>
      <c r="AS953" s="65"/>
      <c r="AT953" s="65"/>
      <c r="AU953" s="65"/>
      <c r="AV953" s="65"/>
      <c r="AW953" s="65"/>
      <c r="AX953" s="65"/>
      <c r="AY953" s="65"/>
      <c r="AZ953" s="65"/>
      <c r="BA953" s="65"/>
      <c r="BB953" s="65"/>
      <c r="BC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56"/>
      <c r="M954" s="56"/>
      <c r="N954" s="56"/>
      <c r="O954" s="56"/>
      <c r="P954" s="56"/>
      <c r="Q954" s="56"/>
      <c r="R954" s="56"/>
      <c r="S954" s="56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56"/>
      <c r="AG954" s="65"/>
      <c r="AH954" s="65"/>
      <c r="AI954" s="65"/>
      <c r="AJ954" s="65"/>
      <c r="AK954" s="65"/>
      <c r="AL954" s="65"/>
      <c r="AM954" s="65"/>
      <c r="AN954" s="65"/>
      <c r="AO954" s="65"/>
      <c r="AP954" s="65"/>
      <c r="AQ954" s="65"/>
      <c r="AR954" s="65"/>
      <c r="AS954" s="65"/>
      <c r="AT954" s="65"/>
      <c r="AU954" s="65"/>
      <c r="AV954" s="65"/>
      <c r="AW954" s="65"/>
      <c r="AX954" s="65"/>
      <c r="AY954" s="65"/>
      <c r="AZ954" s="65"/>
      <c r="BA954" s="65"/>
      <c r="BB954" s="65"/>
      <c r="BC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56"/>
      <c r="M955" s="56"/>
      <c r="N955" s="56"/>
      <c r="O955" s="56"/>
      <c r="P955" s="56"/>
      <c r="Q955" s="56"/>
      <c r="R955" s="56"/>
      <c r="S955" s="56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56"/>
      <c r="AG955" s="65"/>
      <c r="AH955" s="65"/>
      <c r="AI955" s="65"/>
      <c r="AJ955" s="65"/>
      <c r="AK955" s="65"/>
      <c r="AL955" s="65"/>
      <c r="AM955" s="65"/>
      <c r="AN955" s="65"/>
      <c r="AO955" s="65"/>
      <c r="AP955" s="65"/>
      <c r="AQ955" s="65"/>
      <c r="AR955" s="65"/>
      <c r="AS955" s="65"/>
      <c r="AT955" s="65"/>
      <c r="AU955" s="65"/>
      <c r="AV955" s="65"/>
      <c r="AW955" s="65"/>
      <c r="AX955" s="65"/>
      <c r="AY955" s="65"/>
      <c r="AZ955" s="65"/>
      <c r="BA955" s="65"/>
      <c r="BB955" s="65"/>
      <c r="BC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56"/>
      <c r="M956" s="56"/>
      <c r="N956" s="56"/>
      <c r="O956" s="56"/>
      <c r="P956" s="56"/>
      <c r="Q956" s="56"/>
      <c r="R956" s="56"/>
      <c r="S956" s="56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56"/>
      <c r="AG956" s="65"/>
      <c r="AH956" s="65"/>
      <c r="AI956" s="65"/>
      <c r="AJ956" s="65"/>
      <c r="AK956" s="65"/>
      <c r="AL956" s="65"/>
      <c r="AM956" s="65"/>
      <c r="AN956" s="65"/>
      <c r="AO956" s="65"/>
      <c r="AP956" s="65"/>
      <c r="AQ956" s="65"/>
      <c r="AR956" s="65"/>
      <c r="AS956" s="65"/>
      <c r="AT956" s="65"/>
      <c r="AU956" s="65"/>
      <c r="AV956" s="65"/>
      <c r="AW956" s="65"/>
      <c r="AX956" s="65"/>
      <c r="AY956" s="65"/>
      <c r="AZ956" s="65"/>
      <c r="BA956" s="65"/>
      <c r="BB956" s="65"/>
      <c r="BC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56"/>
      <c r="M957" s="56"/>
      <c r="N957" s="56"/>
      <c r="O957" s="56"/>
      <c r="P957" s="56"/>
      <c r="Q957" s="56"/>
      <c r="R957" s="56"/>
      <c r="S957" s="56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56"/>
      <c r="AG957" s="65"/>
      <c r="AH957" s="65"/>
      <c r="AI957" s="65"/>
      <c r="AJ957" s="65"/>
      <c r="AK957" s="65"/>
      <c r="AL957" s="65"/>
      <c r="AM957" s="65"/>
      <c r="AN957" s="65"/>
      <c r="AO957" s="65"/>
      <c r="AP957" s="65"/>
      <c r="AQ957" s="65"/>
      <c r="AR957" s="65"/>
      <c r="AS957" s="65"/>
      <c r="AT957" s="65"/>
      <c r="AU957" s="65"/>
      <c r="AV957" s="65"/>
      <c r="AW957" s="65"/>
      <c r="AX957" s="65"/>
      <c r="AY957" s="65"/>
      <c r="AZ957" s="65"/>
      <c r="BA957" s="65"/>
      <c r="BB957" s="65"/>
      <c r="BC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56"/>
      <c r="M958" s="56"/>
      <c r="N958" s="56"/>
      <c r="O958" s="56"/>
      <c r="P958" s="56"/>
      <c r="Q958" s="56"/>
      <c r="R958" s="56"/>
      <c r="S958" s="56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56"/>
      <c r="AG958" s="65"/>
      <c r="AH958" s="65"/>
      <c r="AI958" s="65"/>
      <c r="AJ958" s="65"/>
      <c r="AK958" s="65"/>
      <c r="AL958" s="65"/>
      <c r="AM958" s="65"/>
      <c r="AN958" s="65"/>
      <c r="AO958" s="65"/>
      <c r="AP958" s="65"/>
      <c r="AQ958" s="65"/>
      <c r="AR958" s="65"/>
      <c r="AS958" s="65"/>
      <c r="AT958" s="65"/>
      <c r="AU958" s="65"/>
      <c r="AV958" s="65"/>
      <c r="AW958" s="65"/>
      <c r="AX958" s="65"/>
      <c r="AY958" s="65"/>
      <c r="AZ958" s="65"/>
      <c r="BA958" s="65"/>
      <c r="BB958" s="65"/>
      <c r="BC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56"/>
      <c r="M959" s="56"/>
      <c r="N959" s="56"/>
      <c r="O959" s="56"/>
      <c r="P959" s="56"/>
      <c r="Q959" s="56"/>
      <c r="R959" s="56"/>
      <c r="S959" s="56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56"/>
      <c r="AG959" s="65"/>
      <c r="AH959" s="65"/>
      <c r="AI959" s="65"/>
      <c r="AJ959" s="65"/>
      <c r="AK959" s="65"/>
      <c r="AL959" s="65"/>
      <c r="AM959" s="65"/>
      <c r="AN959" s="65"/>
      <c r="AO959" s="65"/>
      <c r="AP959" s="65"/>
      <c r="AQ959" s="65"/>
      <c r="AR959" s="65"/>
      <c r="AS959" s="65"/>
      <c r="AT959" s="65"/>
      <c r="AU959" s="65"/>
      <c r="AV959" s="65"/>
      <c r="AW959" s="65"/>
      <c r="AX959" s="65"/>
      <c r="AY959" s="65"/>
      <c r="AZ959" s="65"/>
      <c r="BA959" s="65"/>
      <c r="BB959" s="65"/>
      <c r="BC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56"/>
      <c r="M960" s="56"/>
      <c r="N960" s="56"/>
      <c r="O960" s="56"/>
      <c r="P960" s="56"/>
      <c r="Q960" s="56"/>
      <c r="R960" s="56"/>
      <c r="S960" s="56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56"/>
      <c r="AG960" s="65"/>
      <c r="AH960" s="65"/>
      <c r="AI960" s="65"/>
      <c r="AJ960" s="65"/>
      <c r="AK960" s="65"/>
      <c r="AL960" s="65"/>
      <c r="AM960" s="65"/>
      <c r="AN960" s="65"/>
      <c r="AO960" s="65"/>
      <c r="AP960" s="65"/>
      <c r="AQ960" s="65"/>
      <c r="AR960" s="65"/>
      <c r="AS960" s="65"/>
      <c r="AT960" s="65"/>
      <c r="AU960" s="65"/>
      <c r="AV960" s="65"/>
      <c r="AW960" s="65"/>
      <c r="AX960" s="65"/>
      <c r="AY960" s="65"/>
      <c r="AZ960" s="65"/>
      <c r="BA960" s="65"/>
      <c r="BB960" s="65"/>
      <c r="BC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56"/>
      <c r="M961" s="56"/>
      <c r="N961" s="56"/>
      <c r="O961" s="56"/>
      <c r="P961" s="56"/>
      <c r="Q961" s="56"/>
      <c r="R961" s="56"/>
      <c r="S961" s="56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56"/>
      <c r="AG961" s="65"/>
      <c r="AH961" s="65"/>
      <c r="AI961" s="65"/>
      <c r="AJ961" s="65"/>
      <c r="AK961" s="65"/>
      <c r="AL961" s="65"/>
      <c r="AM961" s="65"/>
      <c r="AN961" s="65"/>
      <c r="AO961" s="65"/>
      <c r="AP961" s="65"/>
      <c r="AQ961" s="65"/>
      <c r="AR961" s="65"/>
      <c r="AS961" s="65"/>
      <c r="AT961" s="65"/>
      <c r="AU961" s="65"/>
      <c r="AV961" s="65"/>
      <c r="AW961" s="65"/>
      <c r="AX961" s="65"/>
      <c r="AY961" s="65"/>
      <c r="AZ961" s="65"/>
      <c r="BA961" s="65"/>
      <c r="BB961" s="65"/>
      <c r="BC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56"/>
      <c r="M962" s="56"/>
      <c r="N962" s="56"/>
      <c r="O962" s="56"/>
      <c r="P962" s="56"/>
      <c r="Q962" s="56"/>
      <c r="R962" s="56"/>
      <c r="S962" s="56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56"/>
      <c r="AG962" s="65"/>
      <c r="AH962" s="65"/>
      <c r="AI962" s="65"/>
      <c r="AJ962" s="65"/>
      <c r="AK962" s="65"/>
      <c r="AL962" s="65"/>
      <c r="AM962" s="65"/>
      <c r="AN962" s="65"/>
      <c r="AO962" s="65"/>
      <c r="AP962" s="65"/>
      <c r="AQ962" s="65"/>
      <c r="AR962" s="65"/>
      <c r="AS962" s="65"/>
      <c r="AT962" s="65"/>
      <c r="AU962" s="65"/>
      <c r="AV962" s="65"/>
      <c r="AW962" s="65"/>
      <c r="AX962" s="65"/>
      <c r="AY962" s="65"/>
      <c r="AZ962" s="65"/>
      <c r="BA962" s="65"/>
      <c r="BB962" s="65"/>
      <c r="BC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56"/>
      <c r="M963" s="56"/>
      <c r="N963" s="56"/>
      <c r="O963" s="56"/>
      <c r="P963" s="56"/>
      <c r="Q963" s="56"/>
      <c r="R963" s="56"/>
      <c r="S963" s="56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56"/>
      <c r="AG963" s="65"/>
      <c r="AH963" s="65"/>
      <c r="AI963" s="65"/>
      <c r="AJ963" s="65"/>
      <c r="AK963" s="65"/>
      <c r="AL963" s="65"/>
      <c r="AM963" s="65"/>
      <c r="AN963" s="65"/>
      <c r="AO963" s="65"/>
      <c r="AP963" s="65"/>
      <c r="AQ963" s="65"/>
      <c r="AR963" s="65"/>
      <c r="AS963" s="65"/>
      <c r="AT963" s="65"/>
      <c r="AU963" s="65"/>
      <c r="AV963" s="65"/>
      <c r="AW963" s="65"/>
      <c r="AX963" s="65"/>
      <c r="AY963" s="65"/>
      <c r="AZ963" s="65"/>
      <c r="BA963" s="65"/>
      <c r="BB963" s="65"/>
      <c r="BC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56"/>
      <c r="M964" s="56"/>
      <c r="N964" s="56"/>
      <c r="O964" s="56"/>
      <c r="P964" s="56"/>
      <c r="Q964" s="56"/>
      <c r="R964" s="56"/>
      <c r="S964" s="56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56"/>
      <c r="AG964" s="65"/>
      <c r="AH964" s="65"/>
      <c r="AI964" s="65"/>
      <c r="AJ964" s="65"/>
      <c r="AK964" s="65"/>
      <c r="AL964" s="65"/>
      <c r="AM964" s="65"/>
      <c r="AN964" s="65"/>
      <c r="AO964" s="65"/>
      <c r="AP964" s="65"/>
      <c r="AQ964" s="65"/>
      <c r="AR964" s="65"/>
      <c r="AS964" s="65"/>
      <c r="AT964" s="65"/>
      <c r="AU964" s="65"/>
      <c r="AV964" s="65"/>
      <c r="AW964" s="65"/>
      <c r="AX964" s="65"/>
      <c r="AY964" s="65"/>
      <c r="AZ964" s="65"/>
      <c r="BA964" s="65"/>
      <c r="BB964" s="65"/>
      <c r="BC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56"/>
      <c r="M965" s="56"/>
      <c r="N965" s="56"/>
      <c r="O965" s="56"/>
      <c r="P965" s="56"/>
      <c r="Q965" s="56"/>
      <c r="R965" s="56"/>
      <c r="S965" s="56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56"/>
      <c r="AG965" s="65"/>
      <c r="AH965" s="65"/>
      <c r="AI965" s="65"/>
      <c r="AJ965" s="65"/>
      <c r="AK965" s="65"/>
      <c r="AL965" s="65"/>
      <c r="AM965" s="65"/>
      <c r="AN965" s="65"/>
      <c r="AO965" s="65"/>
      <c r="AP965" s="65"/>
      <c r="AQ965" s="65"/>
      <c r="AR965" s="65"/>
      <c r="AS965" s="65"/>
      <c r="AT965" s="65"/>
      <c r="AU965" s="65"/>
      <c r="AV965" s="65"/>
      <c r="AW965" s="65"/>
      <c r="AX965" s="65"/>
      <c r="AY965" s="65"/>
      <c r="AZ965" s="65"/>
      <c r="BA965" s="65"/>
      <c r="BB965" s="65"/>
      <c r="BC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56"/>
      <c r="M966" s="56"/>
      <c r="N966" s="56"/>
      <c r="O966" s="56"/>
      <c r="P966" s="56"/>
      <c r="Q966" s="56"/>
      <c r="R966" s="56"/>
      <c r="S966" s="56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56"/>
      <c r="AG966" s="65"/>
      <c r="AH966" s="65"/>
      <c r="AI966" s="65"/>
      <c r="AJ966" s="65"/>
      <c r="AK966" s="65"/>
      <c r="AL966" s="65"/>
      <c r="AM966" s="65"/>
      <c r="AN966" s="65"/>
      <c r="AO966" s="65"/>
      <c r="AP966" s="65"/>
      <c r="AQ966" s="65"/>
      <c r="AR966" s="65"/>
      <c r="AS966" s="65"/>
      <c r="AT966" s="65"/>
      <c r="AU966" s="65"/>
      <c r="AV966" s="65"/>
      <c r="AW966" s="65"/>
      <c r="AX966" s="65"/>
      <c r="AY966" s="65"/>
      <c r="AZ966" s="65"/>
      <c r="BA966" s="65"/>
      <c r="BB966" s="65"/>
      <c r="BC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56"/>
      <c r="M967" s="56"/>
      <c r="N967" s="56"/>
      <c r="O967" s="56"/>
      <c r="P967" s="56"/>
      <c r="Q967" s="56"/>
      <c r="R967" s="56"/>
      <c r="S967" s="56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56"/>
      <c r="AG967" s="65"/>
      <c r="AH967" s="65"/>
      <c r="AI967" s="65"/>
      <c r="AJ967" s="65"/>
      <c r="AK967" s="65"/>
      <c r="AL967" s="65"/>
      <c r="AM967" s="65"/>
      <c r="AN967" s="65"/>
      <c r="AO967" s="65"/>
      <c r="AP967" s="65"/>
      <c r="AQ967" s="65"/>
      <c r="AR967" s="65"/>
      <c r="AS967" s="65"/>
      <c r="AT967" s="65"/>
      <c r="AU967" s="65"/>
      <c r="AV967" s="65"/>
      <c r="AW967" s="65"/>
      <c r="AX967" s="65"/>
      <c r="AY967" s="65"/>
      <c r="AZ967" s="65"/>
      <c r="BA967" s="65"/>
      <c r="BB967" s="65"/>
      <c r="BC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56"/>
      <c r="M968" s="56"/>
      <c r="N968" s="56"/>
      <c r="O968" s="56"/>
      <c r="P968" s="56"/>
      <c r="Q968" s="56"/>
      <c r="R968" s="56"/>
      <c r="S968" s="56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56"/>
      <c r="AG968" s="65"/>
      <c r="AH968" s="65"/>
      <c r="AI968" s="65"/>
      <c r="AJ968" s="65"/>
      <c r="AK968" s="65"/>
      <c r="AL968" s="65"/>
      <c r="AM968" s="65"/>
      <c r="AN968" s="65"/>
      <c r="AO968" s="65"/>
      <c r="AP968" s="65"/>
      <c r="AQ968" s="65"/>
      <c r="AR968" s="65"/>
      <c r="AS968" s="65"/>
      <c r="AT968" s="65"/>
      <c r="AU968" s="65"/>
      <c r="AV968" s="65"/>
      <c r="AW968" s="65"/>
      <c r="AX968" s="65"/>
      <c r="AY968" s="65"/>
      <c r="AZ968" s="65"/>
      <c r="BA968" s="65"/>
      <c r="BB968" s="65"/>
      <c r="BC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56"/>
      <c r="M969" s="56"/>
      <c r="N969" s="56"/>
      <c r="O969" s="56"/>
      <c r="P969" s="56"/>
      <c r="Q969" s="56"/>
      <c r="R969" s="56"/>
      <c r="S969" s="56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56"/>
      <c r="AG969" s="65"/>
      <c r="AH969" s="65"/>
      <c r="AI969" s="65"/>
      <c r="AJ969" s="65"/>
      <c r="AK969" s="65"/>
      <c r="AL969" s="65"/>
      <c r="AM969" s="65"/>
      <c r="AN969" s="65"/>
      <c r="AO969" s="65"/>
      <c r="AP969" s="65"/>
      <c r="AQ969" s="65"/>
      <c r="AR969" s="65"/>
      <c r="AS969" s="65"/>
      <c r="AT969" s="65"/>
      <c r="AU969" s="65"/>
      <c r="AV969" s="65"/>
      <c r="AW969" s="65"/>
      <c r="AX969" s="65"/>
      <c r="AY969" s="65"/>
      <c r="AZ969" s="65"/>
      <c r="BA969" s="65"/>
      <c r="BB969" s="65"/>
      <c r="BC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56"/>
      <c r="M970" s="56"/>
      <c r="N970" s="56"/>
      <c r="O970" s="56"/>
      <c r="P970" s="56"/>
      <c r="Q970" s="56"/>
      <c r="R970" s="56"/>
      <c r="S970" s="56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56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  <c r="AQ970" s="65"/>
      <c r="AR970" s="65"/>
      <c r="AS970" s="65"/>
      <c r="AT970" s="65"/>
      <c r="AU970" s="65"/>
      <c r="AV970" s="65"/>
      <c r="AW970" s="65"/>
      <c r="AX970" s="65"/>
      <c r="AY970" s="65"/>
      <c r="AZ970" s="65"/>
      <c r="BA970" s="65"/>
      <c r="BB970" s="65"/>
      <c r="BC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56"/>
      <c r="M971" s="56"/>
      <c r="N971" s="56"/>
      <c r="O971" s="56"/>
      <c r="P971" s="56"/>
      <c r="Q971" s="56"/>
      <c r="R971" s="56"/>
      <c r="S971" s="56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56"/>
      <c r="AG971" s="65"/>
      <c r="AH971" s="65"/>
      <c r="AI971" s="65"/>
      <c r="AJ971" s="65"/>
      <c r="AK971" s="65"/>
      <c r="AL971" s="65"/>
      <c r="AM971" s="65"/>
      <c r="AN971" s="65"/>
      <c r="AO971" s="65"/>
      <c r="AP971" s="65"/>
      <c r="AQ971" s="65"/>
      <c r="AR971" s="65"/>
      <c r="AS971" s="65"/>
      <c r="AT971" s="65"/>
      <c r="AU971" s="65"/>
      <c r="AV971" s="65"/>
      <c r="AW971" s="65"/>
      <c r="AX971" s="65"/>
      <c r="AY971" s="65"/>
      <c r="AZ971" s="65"/>
      <c r="BA971" s="65"/>
      <c r="BB971" s="65"/>
      <c r="BC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56"/>
      <c r="M972" s="56"/>
      <c r="N972" s="56"/>
      <c r="O972" s="56"/>
      <c r="P972" s="56"/>
      <c r="Q972" s="56"/>
      <c r="R972" s="56"/>
      <c r="S972" s="56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56"/>
      <c r="AG972" s="65"/>
      <c r="AH972" s="65"/>
      <c r="AI972" s="65"/>
      <c r="AJ972" s="65"/>
      <c r="AK972" s="65"/>
      <c r="AL972" s="65"/>
      <c r="AM972" s="65"/>
      <c r="AN972" s="65"/>
      <c r="AO972" s="65"/>
      <c r="AP972" s="65"/>
      <c r="AQ972" s="65"/>
      <c r="AR972" s="65"/>
      <c r="AS972" s="65"/>
      <c r="AT972" s="65"/>
      <c r="AU972" s="65"/>
      <c r="AV972" s="65"/>
      <c r="AW972" s="65"/>
      <c r="AX972" s="65"/>
      <c r="AY972" s="65"/>
      <c r="AZ972" s="65"/>
      <c r="BA972" s="65"/>
      <c r="BB972" s="65"/>
      <c r="BC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56"/>
      <c r="M973" s="56"/>
      <c r="N973" s="56"/>
      <c r="O973" s="56"/>
      <c r="P973" s="56"/>
      <c r="Q973" s="56"/>
      <c r="R973" s="56"/>
      <c r="S973" s="56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56"/>
      <c r="AG973" s="65"/>
      <c r="AH973" s="65"/>
      <c r="AI973" s="65"/>
      <c r="AJ973" s="65"/>
      <c r="AK973" s="65"/>
      <c r="AL973" s="65"/>
      <c r="AM973" s="65"/>
      <c r="AN973" s="65"/>
      <c r="AO973" s="65"/>
      <c r="AP973" s="65"/>
      <c r="AQ973" s="65"/>
      <c r="AR973" s="65"/>
      <c r="AS973" s="65"/>
      <c r="AT973" s="65"/>
      <c r="AU973" s="65"/>
      <c r="AV973" s="65"/>
      <c r="AW973" s="65"/>
      <c r="AX973" s="65"/>
      <c r="AY973" s="65"/>
      <c r="AZ973" s="65"/>
      <c r="BA973" s="65"/>
      <c r="BB973" s="65"/>
      <c r="BC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56"/>
      <c r="M974" s="56"/>
      <c r="N974" s="56"/>
      <c r="O974" s="56"/>
      <c r="P974" s="56"/>
      <c r="Q974" s="56"/>
      <c r="R974" s="56"/>
      <c r="S974" s="56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56"/>
      <c r="AG974" s="65"/>
      <c r="AH974" s="65"/>
      <c r="AI974" s="65"/>
      <c r="AJ974" s="65"/>
      <c r="AK974" s="65"/>
      <c r="AL974" s="65"/>
      <c r="AM974" s="65"/>
      <c r="AN974" s="65"/>
      <c r="AO974" s="65"/>
      <c r="AP974" s="65"/>
      <c r="AQ974" s="65"/>
      <c r="AR974" s="65"/>
      <c r="AS974" s="65"/>
      <c r="AT974" s="65"/>
      <c r="AU974" s="65"/>
      <c r="AV974" s="65"/>
      <c r="AW974" s="65"/>
      <c r="AX974" s="65"/>
      <c r="AY974" s="65"/>
      <c r="AZ974" s="65"/>
      <c r="BA974" s="65"/>
      <c r="BB974" s="65"/>
      <c r="BC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56"/>
      <c r="M975" s="56"/>
      <c r="N975" s="56"/>
      <c r="O975" s="56"/>
      <c r="P975" s="56"/>
      <c r="Q975" s="56"/>
      <c r="R975" s="56"/>
      <c r="S975" s="56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56"/>
      <c r="AG975" s="65"/>
      <c r="AH975" s="65"/>
      <c r="AI975" s="65"/>
      <c r="AJ975" s="65"/>
      <c r="AK975" s="65"/>
      <c r="AL975" s="65"/>
      <c r="AM975" s="65"/>
      <c r="AN975" s="65"/>
      <c r="AO975" s="65"/>
      <c r="AP975" s="65"/>
      <c r="AQ975" s="65"/>
      <c r="AR975" s="65"/>
      <c r="AS975" s="65"/>
      <c r="AT975" s="65"/>
      <c r="AU975" s="65"/>
      <c r="AV975" s="65"/>
      <c r="AW975" s="65"/>
      <c r="AX975" s="65"/>
      <c r="AY975" s="65"/>
      <c r="AZ975" s="65"/>
      <c r="BA975" s="65"/>
      <c r="BB975" s="65"/>
      <c r="BC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56"/>
      <c r="M976" s="56"/>
      <c r="N976" s="56"/>
      <c r="O976" s="56"/>
      <c r="P976" s="56"/>
      <c r="Q976" s="56"/>
      <c r="R976" s="56"/>
      <c r="S976" s="56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56"/>
      <c r="AG976" s="65"/>
      <c r="AH976" s="65"/>
      <c r="AI976" s="65"/>
      <c r="AJ976" s="65"/>
      <c r="AK976" s="65"/>
      <c r="AL976" s="65"/>
      <c r="AM976" s="65"/>
      <c r="AN976" s="65"/>
      <c r="AO976" s="65"/>
      <c r="AP976" s="65"/>
      <c r="AQ976" s="65"/>
      <c r="AR976" s="65"/>
      <c r="AS976" s="65"/>
      <c r="AT976" s="65"/>
      <c r="AU976" s="65"/>
      <c r="AV976" s="65"/>
      <c r="AW976" s="65"/>
      <c r="AX976" s="65"/>
      <c r="AY976" s="65"/>
      <c r="AZ976" s="65"/>
      <c r="BA976" s="65"/>
      <c r="BB976" s="65"/>
      <c r="BC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56"/>
      <c r="M977" s="56"/>
      <c r="N977" s="56"/>
      <c r="O977" s="56"/>
      <c r="P977" s="56"/>
      <c r="Q977" s="56"/>
      <c r="R977" s="56"/>
      <c r="S977" s="56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56"/>
      <c r="AG977" s="65"/>
      <c r="AH977" s="65"/>
      <c r="AI977" s="65"/>
      <c r="AJ977" s="65"/>
      <c r="AK977" s="65"/>
      <c r="AL977" s="65"/>
      <c r="AM977" s="65"/>
      <c r="AN977" s="65"/>
      <c r="AO977" s="65"/>
      <c r="AP977" s="65"/>
      <c r="AQ977" s="65"/>
      <c r="AR977" s="65"/>
      <c r="AS977" s="65"/>
      <c r="AT977" s="65"/>
      <c r="AU977" s="65"/>
      <c r="AV977" s="65"/>
      <c r="AW977" s="65"/>
      <c r="AX977" s="65"/>
      <c r="AY977" s="65"/>
      <c r="AZ977" s="65"/>
      <c r="BA977" s="65"/>
      <c r="BB977" s="65"/>
      <c r="BC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56"/>
      <c r="M978" s="56"/>
      <c r="N978" s="56"/>
      <c r="O978" s="56"/>
      <c r="P978" s="56"/>
      <c r="Q978" s="56"/>
      <c r="R978" s="56"/>
      <c r="S978" s="56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56"/>
      <c r="AG978" s="65"/>
      <c r="AH978" s="65"/>
      <c r="AI978" s="65"/>
      <c r="AJ978" s="65"/>
      <c r="AK978" s="65"/>
      <c r="AL978" s="65"/>
      <c r="AM978" s="65"/>
      <c r="AN978" s="65"/>
      <c r="AO978" s="65"/>
      <c r="AP978" s="65"/>
      <c r="AQ978" s="65"/>
      <c r="AR978" s="65"/>
      <c r="AS978" s="65"/>
      <c r="AT978" s="65"/>
      <c r="AU978" s="65"/>
      <c r="AV978" s="65"/>
      <c r="AW978" s="65"/>
      <c r="AX978" s="65"/>
      <c r="AY978" s="65"/>
      <c r="AZ978" s="65"/>
      <c r="BA978" s="65"/>
      <c r="BB978" s="65"/>
      <c r="BC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56"/>
      <c r="M979" s="56"/>
      <c r="N979" s="56"/>
      <c r="O979" s="56"/>
      <c r="P979" s="56"/>
      <c r="Q979" s="56"/>
      <c r="R979" s="56"/>
      <c r="S979" s="56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56"/>
      <c r="AG979" s="65"/>
      <c r="AH979" s="65"/>
      <c r="AI979" s="65"/>
      <c r="AJ979" s="65"/>
      <c r="AK979" s="65"/>
      <c r="AL979" s="65"/>
      <c r="AM979" s="65"/>
      <c r="AN979" s="65"/>
      <c r="AO979" s="65"/>
      <c r="AP979" s="65"/>
      <c r="AQ979" s="65"/>
      <c r="AR979" s="65"/>
      <c r="AS979" s="65"/>
      <c r="AT979" s="65"/>
      <c r="AU979" s="65"/>
      <c r="AV979" s="65"/>
      <c r="AW979" s="65"/>
      <c r="AX979" s="65"/>
      <c r="AY979" s="65"/>
      <c r="AZ979" s="65"/>
      <c r="BA979" s="65"/>
      <c r="BB979" s="65"/>
      <c r="BC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56"/>
      <c r="M980" s="56"/>
      <c r="N980" s="56"/>
      <c r="O980" s="56"/>
      <c r="P980" s="56"/>
      <c r="Q980" s="56"/>
      <c r="R980" s="56"/>
      <c r="S980" s="56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56"/>
      <c r="AG980" s="65"/>
      <c r="AH980" s="65"/>
      <c r="AI980" s="65"/>
      <c r="AJ980" s="65"/>
      <c r="AK980" s="65"/>
      <c r="AL980" s="65"/>
      <c r="AM980" s="65"/>
      <c r="AN980" s="65"/>
      <c r="AO980" s="65"/>
      <c r="AP980" s="65"/>
      <c r="AQ980" s="65"/>
      <c r="AR980" s="65"/>
      <c r="AS980" s="65"/>
      <c r="AT980" s="65"/>
      <c r="AU980" s="65"/>
      <c r="AV980" s="65"/>
      <c r="AW980" s="65"/>
      <c r="AX980" s="65"/>
      <c r="AY980" s="65"/>
      <c r="AZ980" s="65"/>
      <c r="BA980" s="65"/>
      <c r="BB980" s="65"/>
      <c r="BC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56"/>
      <c r="M981" s="56"/>
      <c r="N981" s="56"/>
      <c r="O981" s="56"/>
      <c r="P981" s="56"/>
      <c r="Q981" s="56"/>
      <c r="R981" s="56"/>
      <c r="S981" s="56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56"/>
      <c r="AG981" s="65"/>
      <c r="AH981" s="65"/>
      <c r="AI981" s="65"/>
      <c r="AJ981" s="65"/>
      <c r="AK981" s="65"/>
      <c r="AL981" s="65"/>
      <c r="AM981" s="65"/>
      <c r="AN981" s="65"/>
      <c r="AO981" s="65"/>
      <c r="AP981" s="65"/>
      <c r="AQ981" s="65"/>
      <c r="AR981" s="65"/>
      <c r="AS981" s="65"/>
      <c r="AT981" s="65"/>
      <c r="AU981" s="65"/>
      <c r="AV981" s="65"/>
      <c r="AW981" s="65"/>
      <c r="AX981" s="65"/>
      <c r="AY981" s="65"/>
      <c r="AZ981" s="65"/>
      <c r="BA981" s="65"/>
      <c r="BB981" s="65"/>
      <c r="BC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56"/>
      <c r="M982" s="56"/>
      <c r="N982" s="56"/>
      <c r="O982" s="56"/>
      <c r="P982" s="56"/>
      <c r="Q982" s="56"/>
      <c r="R982" s="56"/>
      <c r="S982" s="56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56"/>
      <c r="AG982" s="65"/>
      <c r="AH982" s="65"/>
      <c r="AI982" s="65"/>
      <c r="AJ982" s="65"/>
      <c r="AK982" s="65"/>
      <c r="AL982" s="65"/>
      <c r="AM982" s="65"/>
      <c r="AN982" s="65"/>
      <c r="AO982" s="65"/>
      <c r="AP982" s="65"/>
      <c r="AQ982" s="65"/>
      <c r="AR982" s="65"/>
      <c r="AS982" s="65"/>
      <c r="AT982" s="65"/>
      <c r="AU982" s="65"/>
      <c r="AV982" s="65"/>
      <c r="AW982" s="65"/>
      <c r="AX982" s="65"/>
      <c r="AY982" s="65"/>
      <c r="AZ982" s="65"/>
      <c r="BA982" s="65"/>
      <c r="BB982" s="65"/>
      <c r="BC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56"/>
      <c r="M983" s="56"/>
      <c r="N983" s="56"/>
      <c r="O983" s="56"/>
      <c r="P983" s="56"/>
      <c r="Q983" s="56"/>
      <c r="R983" s="56"/>
      <c r="S983" s="56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56"/>
      <c r="AG983" s="65"/>
      <c r="AH983" s="65"/>
      <c r="AI983" s="65"/>
      <c r="AJ983" s="65"/>
      <c r="AK983" s="65"/>
      <c r="AL983" s="65"/>
      <c r="AM983" s="65"/>
      <c r="AN983" s="65"/>
      <c r="AO983" s="65"/>
      <c r="AP983" s="65"/>
      <c r="AQ983" s="65"/>
      <c r="AR983" s="65"/>
      <c r="AS983" s="65"/>
      <c r="AT983" s="65"/>
      <c r="AU983" s="65"/>
      <c r="AV983" s="65"/>
      <c r="AW983" s="65"/>
      <c r="AX983" s="65"/>
      <c r="AY983" s="65"/>
      <c r="AZ983" s="65"/>
      <c r="BA983" s="65"/>
      <c r="BB983" s="65"/>
      <c r="BC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56"/>
      <c r="M984" s="56"/>
      <c r="N984" s="56"/>
      <c r="O984" s="56"/>
      <c r="P984" s="56"/>
      <c r="Q984" s="56"/>
      <c r="R984" s="56"/>
      <c r="S984" s="56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56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  <c r="AQ984" s="65"/>
      <c r="AR984" s="65"/>
      <c r="AS984" s="65"/>
      <c r="AT984" s="65"/>
      <c r="AU984" s="65"/>
      <c r="AV984" s="65"/>
      <c r="AW984" s="65"/>
      <c r="AX984" s="65"/>
      <c r="AY984" s="65"/>
      <c r="AZ984" s="65"/>
      <c r="BA984" s="65"/>
      <c r="BB984" s="65"/>
      <c r="BC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56"/>
      <c r="M985" s="56"/>
      <c r="N985" s="56"/>
      <c r="O985" s="56"/>
      <c r="P985" s="56"/>
      <c r="Q985" s="56"/>
      <c r="R985" s="56"/>
      <c r="S985" s="56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56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  <c r="AQ985" s="65"/>
      <c r="AR985" s="65"/>
      <c r="AS985" s="65"/>
      <c r="AT985" s="65"/>
      <c r="AU985" s="65"/>
      <c r="AV985" s="65"/>
      <c r="AW985" s="65"/>
      <c r="AX985" s="65"/>
      <c r="AY985" s="65"/>
      <c r="AZ985" s="65"/>
      <c r="BA985" s="65"/>
      <c r="BB985" s="65"/>
      <c r="BC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56"/>
      <c r="M986" s="56"/>
      <c r="N986" s="56"/>
      <c r="O986" s="56"/>
      <c r="P986" s="56"/>
      <c r="Q986" s="56"/>
      <c r="R986" s="56"/>
      <c r="S986" s="56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56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  <c r="AQ986" s="65"/>
      <c r="AR986" s="65"/>
      <c r="AS986" s="65"/>
      <c r="AT986" s="65"/>
      <c r="AU986" s="65"/>
      <c r="AV986" s="65"/>
      <c r="AW986" s="65"/>
      <c r="AX986" s="65"/>
      <c r="AY986" s="65"/>
      <c r="AZ986" s="65"/>
      <c r="BA986" s="65"/>
      <c r="BB986" s="65"/>
      <c r="BC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56"/>
      <c r="M987" s="56"/>
      <c r="N987" s="56"/>
      <c r="O987" s="56"/>
      <c r="P987" s="56"/>
      <c r="Q987" s="56"/>
      <c r="R987" s="56"/>
      <c r="S987" s="56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56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  <c r="AQ987" s="65"/>
      <c r="AR987" s="65"/>
      <c r="AS987" s="65"/>
      <c r="AT987" s="65"/>
      <c r="AU987" s="65"/>
      <c r="AV987" s="65"/>
      <c r="AW987" s="65"/>
      <c r="AX987" s="65"/>
      <c r="AY987" s="65"/>
      <c r="AZ987" s="65"/>
      <c r="BA987" s="65"/>
      <c r="BB987" s="65"/>
      <c r="BC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56"/>
      <c r="M988" s="56"/>
      <c r="N988" s="56"/>
      <c r="O988" s="56"/>
      <c r="P988" s="56"/>
      <c r="Q988" s="56"/>
      <c r="R988" s="56"/>
      <c r="S988" s="56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56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  <c r="AQ988" s="65"/>
      <c r="AR988" s="65"/>
      <c r="AS988" s="65"/>
      <c r="AT988" s="65"/>
      <c r="AU988" s="65"/>
      <c r="AV988" s="65"/>
      <c r="AW988" s="65"/>
      <c r="AX988" s="65"/>
      <c r="AY988" s="65"/>
      <c r="AZ988" s="65"/>
      <c r="BA988" s="65"/>
      <c r="BB988" s="65"/>
      <c r="BC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56"/>
      <c r="M989" s="56"/>
      <c r="N989" s="56"/>
      <c r="O989" s="56"/>
      <c r="P989" s="56"/>
      <c r="Q989" s="56"/>
      <c r="R989" s="56"/>
      <c r="S989" s="56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56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  <c r="AQ989" s="65"/>
      <c r="AR989" s="65"/>
      <c r="AS989" s="65"/>
      <c r="AT989" s="65"/>
      <c r="AU989" s="65"/>
      <c r="AV989" s="65"/>
      <c r="AW989" s="65"/>
      <c r="AX989" s="65"/>
      <c r="AY989" s="65"/>
      <c r="AZ989" s="65"/>
      <c r="BA989" s="65"/>
      <c r="BB989" s="65"/>
      <c r="BC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56"/>
      <c r="M990" s="56"/>
      <c r="N990" s="56"/>
      <c r="O990" s="56"/>
      <c r="P990" s="56"/>
      <c r="Q990" s="56"/>
      <c r="R990" s="56"/>
      <c r="S990" s="56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56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  <c r="AQ990" s="65"/>
      <c r="AR990" s="65"/>
      <c r="AS990" s="65"/>
      <c r="AT990" s="65"/>
      <c r="AU990" s="65"/>
      <c r="AV990" s="65"/>
      <c r="AW990" s="65"/>
      <c r="AX990" s="65"/>
      <c r="AY990" s="65"/>
      <c r="AZ990" s="65"/>
      <c r="BA990" s="65"/>
      <c r="BB990" s="65"/>
      <c r="BC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56"/>
      <c r="M991" s="56"/>
      <c r="N991" s="56"/>
      <c r="O991" s="56"/>
      <c r="P991" s="56"/>
      <c r="Q991" s="56"/>
      <c r="R991" s="56"/>
      <c r="S991" s="56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56"/>
      <c r="AG991" s="65"/>
      <c r="AH991" s="65"/>
      <c r="AI991" s="65"/>
      <c r="AJ991" s="65"/>
      <c r="AK991" s="65"/>
      <c r="AL991" s="65"/>
      <c r="AM991" s="65"/>
      <c r="AN991" s="65"/>
      <c r="AO991" s="65"/>
      <c r="AP991" s="65"/>
      <c r="AQ991" s="65"/>
      <c r="AR991" s="65"/>
      <c r="AS991" s="65"/>
      <c r="AT991" s="65"/>
      <c r="AU991" s="65"/>
      <c r="AV991" s="65"/>
      <c r="AW991" s="65"/>
      <c r="AX991" s="65"/>
      <c r="AY991" s="65"/>
      <c r="AZ991" s="65"/>
      <c r="BA991" s="65"/>
      <c r="BB991" s="65"/>
      <c r="BC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56"/>
      <c r="M992" s="56"/>
      <c r="N992" s="56"/>
      <c r="O992" s="56"/>
      <c r="P992" s="56"/>
      <c r="Q992" s="56"/>
      <c r="R992" s="56"/>
      <c r="S992" s="56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56"/>
      <c r="AG992" s="65"/>
      <c r="AH992" s="65"/>
      <c r="AI992" s="65"/>
      <c r="AJ992" s="65"/>
      <c r="AK992" s="65"/>
      <c r="AL992" s="65"/>
      <c r="AM992" s="65"/>
      <c r="AN992" s="65"/>
      <c r="AO992" s="65"/>
      <c r="AP992" s="65"/>
      <c r="AQ992" s="65"/>
      <c r="AR992" s="65"/>
      <c r="AS992" s="65"/>
      <c r="AT992" s="65"/>
      <c r="AU992" s="65"/>
      <c r="AV992" s="65"/>
      <c r="AW992" s="65"/>
      <c r="AX992" s="65"/>
      <c r="AY992" s="65"/>
      <c r="AZ992" s="65"/>
      <c r="BA992" s="65"/>
      <c r="BB992" s="65"/>
      <c r="BC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56"/>
      <c r="M993" s="56"/>
      <c r="N993" s="56"/>
      <c r="O993" s="56"/>
      <c r="P993" s="56"/>
      <c r="Q993" s="56"/>
      <c r="R993" s="56"/>
      <c r="S993" s="56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56"/>
      <c r="AG993" s="65"/>
      <c r="AH993" s="65"/>
      <c r="AI993" s="65"/>
      <c r="AJ993" s="65"/>
      <c r="AK993" s="65"/>
      <c r="AL993" s="65"/>
      <c r="AM993" s="65"/>
      <c r="AN993" s="65"/>
      <c r="AO993" s="65"/>
      <c r="AP993" s="65"/>
      <c r="AQ993" s="65"/>
      <c r="AR993" s="65"/>
      <c r="AS993" s="65"/>
      <c r="AT993" s="65"/>
      <c r="AU993" s="65"/>
      <c r="AV993" s="65"/>
      <c r="AW993" s="65"/>
      <c r="AX993" s="65"/>
      <c r="AY993" s="65"/>
      <c r="AZ993" s="65"/>
      <c r="BA993" s="65"/>
      <c r="BB993" s="65"/>
      <c r="BC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56"/>
      <c r="M994" s="56"/>
      <c r="N994" s="56"/>
      <c r="O994" s="56"/>
      <c r="P994" s="56"/>
      <c r="Q994" s="56"/>
      <c r="R994" s="56"/>
      <c r="S994" s="56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56"/>
      <c r="AG994" s="65"/>
      <c r="AH994" s="65"/>
      <c r="AI994" s="65"/>
      <c r="AJ994" s="65"/>
      <c r="AK994" s="65"/>
      <c r="AL994" s="65"/>
      <c r="AM994" s="65"/>
      <c r="AN994" s="65"/>
      <c r="AO994" s="65"/>
      <c r="AP994" s="65"/>
      <c r="AQ994" s="65"/>
      <c r="AR994" s="65"/>
      <c r="AS994" s="65"/>
      <c r="AT994" s="65"/>
      <c r="AU994" s="65"/>
      <c r="AV994" s="65"/>
      <c r="AW994" s="65"/>
      <c r="AX994" s="65"/>
      <c r="AY994" s="65"/>
      <c r="AZ994" s="65"/>
      <c r="BA994" s="65"/>
      <c r="BB994" s="65"/>
      <c r="BC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56"/>
      <c r="M995" s="56"/>
      <c r="N995" s="56"/>
      <c r="O995" s="56"/>
      <c r="P995" s="56"/>
      <c r="Q995" s="56"/>
      <c r="R995" s="56"/>
      <c r="S995" s="56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56"/>
      <c r="AG995" s="65"/>
      <c r="AH995" s="65"/>
      <c r="AI995" s="65"/>
      <c r="AJ995" s="65"/>
      <c r="AK995" s="65"/>
      <c r="AL995" s="65"/>
      <c r="AM995" s="65"/>
      <c r="AN995" s="65"/>
      <c r="AO995" s="65"/>
      <c r="AP995" s="65"/>
      <c r="AQ995" s="65"/>
      <c r="AR995" s="65"/>
      <c r="AS995" s="65"/>
      <c r="AT995" s="65"/>
      <c r="AU995" s="65"/>
      <c r="AV995" s="65"/>
      <c r="AW995" s="65"/>
      <c r="AX995" s="65"/>
      <c r="AY995" s="65"/>
      <c r="AZ995" s="65"/>
      <c r="BA995" s="65"/>
      <c r="BB995" s="65"/>
      <c r="BC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56"/>
      <c r="M996" s="56"/>
      <c r="N996" s="56"/>
      <c r="O996" s="56"/>
      <c r="P996" s="56"/>
      <c r="Q996" s="56"/>
      <c r="R996" s="56"/>
      <c r="S996" s="56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56"/>
      <c r="AG996" s="65"/>
      <c r="AH996" s="65"/>
      <c r="AI996" s="65"/>
      <c r="AJ996" s="65"/>
      <c r="AK996" s="65"/>
      <c r="AL996" s="65"/>
      <c r="AM996" s="65"/>
      <c r="AN996" s="65"/>
      <c r="AO996" s="65"/>
      <c r="AP996" s="65"/>
      <c r="AQ996" s="65"/>
      <c r="AR996" s="65"/>
      <c r="AS996" s="65"/>
      <c r="AT996" s="65"/>
      <c r="AU996" s="65"/>
      <c r="AV996" s="65"/>
      <c r="AW996" s="65"/>
      <c r="AX996" s="65"/>
      <c r="AY996" s="65"/>
      <c r="AZ996" s="65"/>
      <c r="BA996" s="65"/>
      <c r="BB996" s="65"/>
      <c r="BC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56"/>
      <c r="M997" s="56"/>
      <c r="N997" s="56"/>
      <c r="O997" s="56"/>
      <c r="P997" s="56"/>
      <c r="Q997" s="56"/>
      <c r="R997" s="56"/>
      <c r="S997" s="56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56"/>
      <c r="AG997" s="65"/>
      <c r="AH997" s="65"/>
      <c r="AI997" s="65"/>
      <c r="AJ997" s="65"/>
      <c r="AK997" s="65"/>
      <c r="AL997" s="65"/>
      <c r="AM997" s="65"/>
      <c r="AN997" s="65"/>
      <c r="AO997" s="65"/>
      <c r="AP997" s="65"/>
      <c r="AQ997" s="65"/>
      <c r="AR997" s="65"/>
      <c r="AS997" s="65"/>
      <c r="AT997" s="65"/>
      <c r="AU997" s="65"/>
      <c r="AV997" s="65"/>
      <c r="AW997" s="65"/>
      <c r="AX997" s="65"/>
      <c r="AY997" s="65"/>
      <c r="AZ997" s="65"/>
      <c r="BA997" s="65"/>
      <c r="BB997" s="65"/>
      <c r="BC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56"/>
      <c r="M998" s="56"/>
      <c r="N998" s="56"/>
      <c r="O998" s="56"/>
      <c r="P998" s="56"/>
      <c r="Q998" s="56"/>
      <c r="R998" s="56"/>
      <c r="S998" s="56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56"/>
      <c r="AG998" s="65"/>
      <c r="AH998" s="65"/>
      <c r="AI998" s="65"/>
      <c r="AJ998" s="65"/>
      <c r="AK998" s="65"/>
      <c r="AL998" s="65"/>
      <c r="AM998" s="65"/>
      <c r="AN998" s="65"/>
      <c r="AO998" s="65"/>
      <c r="AP998" s="65"/>
      <c r="AQ998" s="65"/>
      <c r="AR998" s="65"/>
      <c r="AS998" s="65"/>
      <c r="AT998" s="65"/>
      <c r="AU998" s="65"/>
      <c r="AV998" s="65"/>
      <c r="AW998" s="65"/>
      <c r="AX998" s="65"/>
      <c r="AY998" s="65"/>
      <c r="AZ998" s="65"/>
      <c r="BA998" s="65"/>
      <c r="BB998" s="65"/>
      <c r="BC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56"/>
      <c r="M999" s="56"/>
      <c r="N999" s="56"/>
      <c r="O999" s="56"/>
      <c r="P999" s="56"/>
      <c r="Q999" s="56"/>
      <c r="R999" s="56"/>
      <c r="S999" s="56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56"/>
      <c r="AG999" s="65"/>
      <c r="AH999" s="65"/>
      <c r="AI999" s="65"/>
      <c r="AJ999" s="65"/>
      <c r="AK999" s="65"/>
      <c r="AL999" s="65"/>
      <c r="AM999" s="65"/>
      <c r="AN999" s="65"/>
      <c r="AO999" s="65"/>
      <c r="AP999" s="65"/>
      <c r="AQ999" s="65"/>
      <c r="AR999" s="65"/>
      <c r="AS999" s="65"/>
      <c r="AT999" s="65"/>
      <c r="AU999" s="65"/>
      <c r="AV999" s="65"/>
      <c r="AW999" s="65"/>
      <c r="AX999" s="65"/>
      <c r="AY999" s="65"/>
      <c r="AZ999" s="65"/>
      <c r="BA999" s="65"/>
      <c r="BB999" s="65"/>
      <c r="BC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56"/>
      <c r="M1000" s="56"/>
      <c r="N1000" s="56"/>
      <c r="O1000" s="56"/>
      <c r="P1000" s="56"/>
      <c r="Q1000" s="56"/>
      <c r="R1000" s="56"/>
      <c r="S1000" s="56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56"/>
      <c r="AG1000" s="65"/>
      <c r="AH1000" s="65"/>
      <c r="AI1000" s="65"/>
      <c r="AJ1000" s="65"/>
      <c r="AK1000" s="65"/>
      <c r="AL1000" s="65"/>
      <c r="AM1000" s="65"/>
      <c r="AN1000" s="65"/>
      <c r="AO1000" s="65"/>
      <c r="AP1000" s="65"/>
      <c r="AQ1000" s="65"/>
      <c r="AR1000" s="65"/>
      <c r="AS1000" s="65"/>
      <c r="AT1000" s="65"/>
      <c r="AU1000" s="65"/>
      <c r="AV1000" s="65"/>
      <c r="AW1000" s="65"/>
      <c r="AX1000" s="65"/>
      <c r="AY1000" s="65"/>
      <c r="AZ1000" s="65"/>
      <c r="BA1000" s="65"/>
      <c r="BB1000" s="65"/>
      <c r="BC1000" s="6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89" t="s">
        <v>761</v>
      </c>
      <c r="E1" s="89" t="s">
        <v>762</v>
      </c>
      <c r="F1" s="89" t="s">
        <v>763</v>
      </c>
      <c r="G1" s="89" t="s">
        <v>764</v>
      </c>
      <c r="H1" s="89" t="s">
        <v>765</v>
      </c>
      <c r="I1" s="89" t="s">
        <v>766</v>
      </c>
      <c r="J1" s="89" t="s">
        <v>767</v>
      </c>
      <c r="K1" s="89" t="s">
        <v>768</v>
      </c>
      <c r="L1" s="89" t="e">
        <v>#VALUE!</v>
      </c>
      <c r="M1" s="89" t="s">
        <v>769</v>
      </c>
      <c r="N1" s="89" t="s">
        <v>770</v>
      </c>
      <c r="O1" s="89" t="s">
        <v>682</v>
      </c>
      <c r="P1" s="89" t="s">
        <v>683</v>
      </c>
      <c r="Q1" s="89" t="s">
        <v>684</v>
      </c>
      <c r="R1" s="89" t="s">
        <v>685</v>
      </c>
      <c r="S1" s="89" t="s">
        <v>686</v>
      </c>
      <c r="T1" s="89" t="s">
        <v>687</v>
      </c>
      <c r="U1" s="89" t="s">
        <v>688</v>
      </c>
      <c r="V1" s="89" t="s">
        <v>689</v>
      </c>
      <c r="W1" s="89" t="s">
        <v>690</v>
      </c>
      <c r="X1" s="89" t="s">
        <v>691</v>
      </c>
      <c r="Y1" s="89" t="s">
        <v>692</v>
      </c>
    </row>
    <row r="2">
      <c r="C2" s="90" t="str">
        <f t="array" ref="C2">XLOOKUP(D2,'Agent Index'!B:B,'Agent Index'!C:C)</f>
        <v>Abdul Ayesha Begum</v>
      </c>
      <c r="D2" s="89" t="s">
        <v>581</v>
      </c>
      <c r="E2" s="89" t="s">
        <v>583</v>
      </c>
      <c r="F2" s="89">
        <v>85.18</v>
      </c>
      <c r="G2" s="89">
        <v>85.74</v>
      </c>
      <c r="H2" s="89">
        <v>82.91</v>
      </c>
      <c r="I2" s="89">
        <v>84.67</v>
      </c>
      <c r="J2" s="89">
        <v>80.63</v>
      </c>
      <c r="K2" s="89">
        <v>91.44</v>
      </c>
      <c r="L2" s="91">
        <v>0.0972</v>
      </c>
      <c r="M2" s="91">
        <v>0.0216</v>
      </c>
      <c r="N2" s="91">
        <v>0.8812</v>
      </c>
      <c r="O2" s="91">
        <v>0.0</v>
      </c>
      <c r="P2" s="91">
        <v>0.1188</v>
      </c>
      <c r="Q2" s="91">
        <v>0.0162</v>
      </c>
      <c r="R2" s="91">
        <v>0.0702</v>
      </c>
      <c r="S2" s="91">
        <v>0.6613</v>
      </c>
      <c r="T2" s="91">
        <v>0.0459</v>
      </c>
      <c r="U2" s="91">
        <v>0.027</v>
      </c>
      <c r="V2" s="91">
        <v>0.0229</v>
      </c>
      <c r="W2" s="91">
        <v>0.004</v>
      </c>
      <c r="X2" s="91">
        <v>0.0175</v>
      </c>
      <c r="Y2" s="91">
        <v>0.0</v>
      </c>
    </row>
    <row r="3">
      <c r="C3" s="90" t="str">
        <f t="array" ref="C3">XLOOKUP(D3,'Agent Index'!B:B,'Agent Index'!C:C)</f>
        <v>Abhishek Chandra</v>
      </c>
      <c r="D3" s="89" t="s">
        <v>596</v>
      </c>
      <c r="E3" s="89" t="s">
        <v>598</v>
      </c>
      <c r="F3" s="89">
        <v>90.58</v>
      </c>
      <c r="G3" s="89">
        <v>90.65</v>
      </c>
      <c r="H3" s="89">
        <v>88.39</v>
      </c>
      <c r="I3" s="89">
        <v>89.96</v>
      </c>
      <c r="J3" s="89">
        <v>90.15</v>
      </c>
      <c r="K3" s="89">
        <v>94.15</v>
      </c>
      <c r="L3" s="91">
        <v>0.1703</v>
      </c>
      <c r="M3" s="91">
        <v>0.038</v>
      </c>
      <c r="N3" s="91">
        <v>0.7917</v>
      </c>
      <c r="O3" s="91">
        <v>0.0054</v>
      </c>
      <c r="P3" s="91">
        <v>0.0725</v>
      </c>
      <c r="Q3" s="91">
        <v>0.0435</v>
      </c>
      <c r="R3" s="91">
        <v>0.0725</v>
      </c>
      <c r="S3" s="91">
        <v>0.6014</v>
      </c>
      <c r="T3" s="91">
        <v>0.0797</v>
      </c>
      <c r="U3" s="91">
        <v>0.0435</v>
      </c>
      <c r="V3" s="91">
        <v>0.0163</v>
      </c>
      <c r="W3" s="91">
        <v>0.0072</v>
      </c>
      <c r="X3" s="91">
        <v>0.0471</v>
      </c>
      <c r="Y3" s="91">
        <v>0.0054</v>
      </c>
    </row>
    <row r="4">
      <c r="C4" s="90" t="str">
        <f t="array" ref="C4">XLOOKUP(D4,'Agent Index'!B:B,'Agent Index'!C:C)</f>
        <v>Afreen Saba</v>
      </c>
      <c r="D4" s="89" t="s">
        <v>647</v>
      </c>
      <c r="E4" s="89" t="s">
        <v>649</v>
      </c>
      <c r="F4" s="89">
        <v>87.04</v>
      </c>
      <c r="G4" s="89">
        <v>86.94</v>
      </c>
      <c r="H4" s="89">
        <v>85.22</v>
      </c>
      <c r="I4" s="89">
        <v>85.85</v>
      </c>
      <c r="J4" s="89">
        <v>86.78</v>
      </c>
      <c r="K4" s="89">
        <v>90.69</v>
      </c>
      <c r="L4" s="91">
        <v>0.1832</v>
      </c>
      <c r="M4" s="91">
        <v>0.0429</v>
      </c>
      <c r="N4" s="91">
        <v>0.7739</v>
      </c>
      <c r="O4" s="91">
        <v>0.0033</v>
      </c>
      <c r="P4" s="91">
        <v>0.071</v>
      </c>
      <c r="Q4" s="91">
        <v>0.0512</v>
      </c>
      <c r="R4" s="91">
        <v>0.0792</v>
      </c>
      <c r="S4" s="91">
        <v>0.6634</v>
      </c>
      <c r="T4" s="91">
        <v>0.0314</v>
      </c>
      <c r="U4" s="91">
        <v>0.0561</v>
      </c>
      <c r="V4" s="91">
        <v>0.005</v>
      </c>
      <c r="W4" s="91">
        <v>0.005</v>
      </c>
      <c r="X4" s="91">
        <v>0.0297</v>
      </c>
      <c r="Y4" s="91">
        <v>0.005</v>
      </c>
    </row>
    <row r="5">
      <c r="C5" s="90" t="str">
        <f t="array" ref="C5">XLOOKUP(D5,'Agent Index'!B:B,'Agent Index'!C:C)</f>
        <v>Mohammed Suhail</v>
      </c>
      <c r="D5" s="89" t="s">
        <v>560</v>
      </c>
      <c r="E5" s="89" t="s">
        <v>562</v>
      </c>
      <c r="F5" s="89">
        <v>88.27</v>
      </c>
      <c r="G5" s="89">
        <v>87.29</v>
      </c>
      <c r="H5" s="89">
        <v>85.98</v>
      </c>
      <c r="I5" s="89">
        <v>87.39</v>
      </c>
      <c r="J5" s="89">
        <v>88.18</v>
      </c>
      <c r="K5" s="89">
        <v>93.1</v>
      </c>
      <c r="L5" s="91">
        <v>0.1289</v>
      </c>
      <c r="M5" s="91">
        <v>0.0264</v>
      </c>
      <c r="N5" s="91">
        <v>0.8447</v>
      </c>
      <c r="O5" s="91">
        <v>0.0062</v>
      </c>
      <c r="P5" s="91">
        <v>0.0932</v>
      </c>
      <c r="Q5" s="91">
        <v>0.0186</v>
      </c>
      <c r="R5" s="91">
        <v>0.0714</v>
      </c>
      <c r="S5" s="91">
        <v>0.6941</v>
      </c>
      <c r="T5" s="91">
        <v>0.0233</v>
      </c>
      <c r="U5" s="91">
        <v>0.0606</v>
      </c>
      <c r="V5" s="91">
        <v>0.0093</v>
      </c>
      <c r="W5" s="91">
        <v>0.0016</v>
      </c>
      <c r="X5" s="91">
        <v>0.014</v>
      </c>
      <c r="Y5" s="91">
        <v>0.0062</v>
      </c>
    </row>
    <row r="6">
      <c r="C6" s="90" t="str">
        <f t="array" ref="C6">XLOOKUP(D6,'Agent Index'!B:B,'Agent Index'!C:C)</f>
        <v>Ali Hussain Musthaq</v>
      </c>
      <c r="D6" s="89" t="s">
        <v>609</v>
      </c>
      <c r="E6" s="89" t="s">
        <v>611</v>
      </c>
      <c r="F6" s="89">
        <v>88.2</v>
      </c>
      <c r="G6" s="89">
        <v>88.89</v>
      </c>
      <c r="H6" s="89">
        <v>86.41</v>
      </c>
      <c r="I6" s="89">
        <v>87.04</v>
      </c>
      <c r="J6" s="89">
        <v>85.56</v>
      </c>
      <c r="K6" s="89">
        <v>92.89</v>
      </c>
      <c r="L6" s="91">
        <v>0.1123</v>
      </c>
      <c r="M6" s="91">
        <v>0.0205</v>
      </c>
      <c r="N6" s="91">
        <v>0.8671</v>
      </c>
      <c r="O6" s="91">
        <v>0.0041</v>
      </c>
      <c r="P6" s="91">
        <v>0.1123</v>
      </c>
      <c r="Q6" s="91">
        <v>0.0041</v>
      </c>
      <c r="R6" s="91">
        <v>0.0808</v>
      </c>
      <c r="S6" s="91">
        <v>0.6616</v>
      </c>
      <c r="T6" s="91">
        <v>0.0507</v>
      </c>
      <c r="U6" s="91">
        <v>0.0356</v>
      </c>
      <c r="V6" s="91">
        <v>0.0055</v>
      </c>
      <c r="W6" s="91">
        <v>0.0068</v>
      </c>
      <c r="X6" s="91">
        <v>0.0219</v>
      </c>
      <c r="Y6" s="91">
        <v>0.0014</v>
      </c>
    </row>
    <row r="7">
      <c r="C7" s="90" t="str">
        <f t="array" ref="C7">XLOOKUP(D7,'Agent Index'!B:B,'Agent Index'!C:C)</f>
        <v>Arfath Abbas</v>
      </c>
      <c r="D7" s="89" t="s">
        <v>612</v>
      </c>
      <c r="E7" s="89" t="s">
        <v>611</v>
      </c>
      <c r="F7" s="89">
        <v>88.05</v>
      </c>
      <c r="G7" s="89">
        <v>87.68</v>
      </c>
      <c r="H7" s="89">
        <v>84.58</v>
      </c>
      <c r="I7" s="89">
        <v>87.18</v>
      </c>
      <c r="J7" s="89">
        <v>88.29</v>
      </c>
      <c r="K7" s="89">
        <v>93.37</v>
      </c>
      <c r="L7" s="91">
        <v>0.1227</v>
      </c>
      <c r="M7" s="91">
        <v>0.0282</v>
      </c>
      <c r="N7" s="91">
        <v>0.8491</v>
      </c>
      <c r="O7" s="91">
        <v>0.0014</v>
      </c>
      <c r="P7" s="91">
        <v>0.134</v>
      </c>
      <c r="Q7" s="91">
        <v>0.0339</v>
      </c>
      <c r="R7" s="91">
        <v>0.0564</v>
      </c>
      <c r="S7" s="91">
        <v>0.6375</v>
      </c>
      <c r="T7" s="91">
        <v>0.0409</v>
      </c>
      <c r="U7" s="91">
        <v>0.0423</v>
      </c>
      <c r="V7" s="91">
        <v>0.0254</v>
      </c>
      <c r="W7" s="91">
        <v>0.0028</v>
      </c>
      <c r="X7" s="91">
        <v>0.0141</v>
      </c>
      <c r="Y7" s="91">
        <v>0.0</v>
      </c>
    </row>
    <row r="8">
      <c r="C8" s="90" t="str">
        <f t="array" ref="C8">XLOOKUP(D8,'Agent Index'!B:B,'Agent Index'!C:C)</f>
        <v>Athiqa Kousher</v>
      </c>
      <c r="D8" s="89" t="s">
        <v>642</v>
      </c>
      <c r="E8" s="89" t="s">
        <v>644</v>
      </c>
      <c r="F8" s="89">
        <v>87.7</v>
      </c>
      <c r="G8" s="89">
        <v>87.85</v>
      </c>
      <c r="H8" s="89">
        <v>83.04</v>
      </c>
      <c r="I8" s="89">
        <v>87.09</v>
      </c>
      <c r="J8" s="89">
        <v>88.55</v>
      </c>
      <c r="K8" s="89">
        <v>93.31</v>
      </c>
      <c r="L8" s="91">
        <v>0.0901</v>
      </c>
      <c r="M8" s="91">
        <v>0.0245</v>
      </c>
      <c r="N8" s="91">
        <v>0.8855</v>
      </c>
      <c r="O8" s="91">
        <v>0.0039</v>
      </c>
      <c r="P8" s="91">
        <v>0.1493</v>
      </c>
      <c r="Q8" s="91">
        <v>0.0142</v>
      </c>
      <c r="R8" s="91">
        <v>0.0347</v>
      </c>
      <c r="S8" s="91">
        <v>0.722</v>
      </c>
      <c r="T8" s="91">
        <v>0.0553</v>
      </c>
      <c r="U8" s="91">
        <v>0.0</v>
      </c>
      <c r="V8" s="91">
        <v>0.0</v>
      </c>
      <c r="W8" s="91">
        <v>0.0</v>
      </c>
      <c r="X8" s="91">
        <v>0.0077</v>
      </c>
      <c r="Y8" s="91">
        <v>0.0026</v>
      </c>
    </row>
    <row r="9">
      <c r="C9" s="90" t="str">
        <f t="array" ref="C9">XLOOKUP(D9,'Agent Index'!B:B,'Agent Index'!C:C)</f>
        <v/>
      </c>
      <c r="D9" s="89" t="s">
        <v>672</v>
      </c>
      <c r="E9" s="89" t="s">
        <v>673</v>
      </c>
      <c r="F9" s="89">
        <v>86.97</v>
      </c>
      <c r="G9" s="89">
        <v>88.11</v>
      </c>
      <c r="H9" s="89">
        <v>82.2</v>
      </c>
      <c r="I9" s="89">
        <v>87.72</v>
      </c>
      <c r="J9" s="89">
        <v>85.02</v>
      </c>
      <c r="K9" s="89">
        <v>92.36</v>
      </c>
      <c r="L9" s="91">
        <v>0.1968</v>
      </c>
      <c r="M9" s="91">
        <v>0.0663</v>
      </c>
      <c r="N9" s="91">
        <v>0.7369</v>
      </c>
      <c r="O9" s="91">
        <v>0.008</v>
      </c>
      <c r="P9" s="91">
        <v>0.0763</v>
      </c>
      <c r="Q9" s="91">
        <v>0.0622</v>
      </c>
      <c r="R9" s="91">
        <v>0.2229</v>
      </c>
      <c r="S9" s="91">
        <v>0.4357</v>
      </c>
      <c r="T9" s="91">
        <v>0.0562</v>
      </c>
      <c r="U9" s="91">
        <v>0.0562</v>
      </c>
      <c r="V9" s="91">
        <v>0.004</v>
      </c>
      <c r="W9" s="91">
        <v>0.006</v>
      </c>
      <c r="X9" s="91">
        <v>0.0602</v>
      </c>
      <c r="Y9" s="91">
        <v>0.0141</v>
      </c>
    </row>
    <row r="10">
      <c r="C10" s="90" t="str">
        <f t="array" ref="C10">XLOOKUP(D10,'Agent Index'!B:B,'Agent Index'!C:C)</f>
        <v>Bellary Jaffer Sadiq</v>
      </c>
      <c r="D10" s="89" t="s">
        <v>599</v>
      </c>
      <c r="E10" s="89" t="s">
        <v>598</v>
      </c>
      <c r="F10" s="89">
        <v>88.38</v>
      </c>
      <c r="G10" s="89">
        <v>89.4</v>
      </c>
      <c r="H10" s="89">
        <v>85.44</v>
      </c>
      <c r="I10" s="89">
        <v>87.28</v>
      </c>
      <c r="J10" s="89">
        <v>88.59</v>
      </c>
      <c r="K10" s="89">
        <v>91.93</v>
      </c>
      <c r="L10" s="91">
        <v>0.1486</v>
      </c>
      <c r="M10" s="91">
        <v>0.044</v>
      </c>
      <c r="N10" s="91">
        <v>0.8073</v>
      </c>
      <c r="O10" s="91">
        <v>0.011</v>
      </c>
      <c r="P10" s="91">
        <v>0.0532</v>
      </c>
      <c r="Q10" s="91">
        <v>0.022</v>
      </c>
      <c r="R10" s="91">
        <v>0.0624</v>
      </c>
      <c r="S10" s="91">
        <v>0.6771</v>
      </c>
      <c r="T10" s="91">
        <v>0.055</v>
      </c>
      <c r="U10" s="91">
        <v>0.0404</v>
      </c>
      <c r="V10" s="91">
        <v>0.0165</v>
      </c>
      <c r="W10" s="91">
        <v>0.0055</v>
      </c>
      <c r="X10" s="91">
        <v>0.044</v>
      </c>
      <c r="Y10" s="91">
        <v>0.0037</v>
      </c>
    </row>
    <row r="11">
      <c r="C11" s="90" t="str">
        <f t="array" ref="C11">XLOOKUP(D11,'Agent Index'!B:B,'Agent Index'!C:C)</f>
        <v/>
      </c>
      <c r="D11" s="89" t="s">
        <v>674</v>
      </c>
      <c r="E11" s="89" t="s">
        <v>673</v>
      </c>
      <c r="F11" s="89">
        <v>87.85</v>
      </c>
      <c r="G11" s="89">
        <v>88.46</v>
      </c>
      <c r="H11" s="89">
        <v>83.89</v>
      </c>
      <c r="I11" s="89">
        <v>87.31</v>
      </c>
      <c r="J11" s="89">
        <v>88.13</v>
      </c>
      <c r="K11" s="89">
        <v>92.48</v>
      </c>
      <c r="L11" s="91">
        <v>0.1614</v>
      </c>
      <c r="M11" s="91">
        <v>0.0568</v>
      </c>
      <c r="N11" s="91">
        <v>0.7818</v>
      </c>
      <c r="O11" s="91">
        <v>0.012</v>
      </c>
      <c r="P11" s="91">
        <v>0.0792</v>
      </c>
      <c r="Q11" s="91">
        <v>0.0478</v>
      </c>
      <c r="R11" s="91">
        <v>0.1839</v>
      </c>
      <c r="S11" s="91">
        <v>0.5306</v>
      </c>
      <c r="T11" s="91">
        <v>0.0987</v>
      </c>
      <c r="U11" s="91">
        <v>0.0015</v>
      </c>
      <c r="V11" s="91">
        <v>0.0</v>
      </c>
      <c r="W11" s="91">
        <v>0.003</v>
      </c>
      <c r="X11" s="91">
        <v>0.0299</v>
      </c>
      <c r="Y11" s="91">
        <v>0.0075</v>
      </c>
    </row>
    <row r="12">
      <c r="C12" s="90" t="str">
        <f t="array" ref="C12">XLOOKUP(D12,'Agent Index'!B:B,'Agent Index'!C:C)</f>
        <v>Chandana M</v>
      </c>
      <c r="D12" s="89" t="s">
        <v>614</v>
      </c>
      <c r="E12" s="89" t="s">
        <v>611</v>
      </c>
      <c r="F12" s="89">
        <v>79.68</v>
      </c>
      <c r="G12" s="89">
        <v>81.94</v>
      </c>
      <c r="H12" s="89">
        <v>77.42</v>
      </c>
      <c r="I12" s="89">
        <v>74.84</v>
      </c>
      <c r="J12" s="89">
        <v>78.39</v>
      </c>
      <c r="K12" s="89">
        <v>85.81</v>
      </c>
      <c r="L12" s="91">
        <v>0.0313</v>
      </c>
      <c r="M12" s="91">
        <v>0.0938</v>
      </c>
      <c r="N12" s="91">
        <v>0.875</v>
      </c>
      <c r="O12" s="91">
        <v>0.0</v>
      </c>
      <c r="P12" s="91">
        <v>0.0</v>
      </c>
      <c r="Q12" s="91">
        <v>0.0</v>
      </c>
      <c r="R12" s="91">
        <v>0.0</v>
      </c>
      <c r="S12" s="91">
        <v>0.0</v>
      </c>
      <c r="T12" s="91">
        <v>0.0</v>
      </c>
      <c r="U12" s="91">
        <v>0.5938</v>
      </c>
      <c r="V12" s="91">
        <v>0.3125</v>
      </c>
      <c r="W12" s="91">
        <v>0.0</v>
      </c>
      <c r="X12" s="91">
        <v>0.0938</v>
      </c>
      <c r="Y12" s="91">
        <v>0.0</v>
      </c>
    </row>
    <row r="13">
      <c r="C13" s="90" t="str">
        <f t="array" ref="C13">XLOOKUP(D13,'Agent Index'!B:B,'Agent Index'!C:C)</f>
        <v>Chethan C</v>
      </c>
      <c r="D13" s="89" t="s">
        <v>616</v>
      </c>
      <c r="E13" s="89" t="s">
        <v>611</v>
      </c>
      <c r="F13" s="89">
        <v>90.08</v>
      </c>
      <c r="G13" s="89">
        <v>90.05</v>
      </c>
      <c r="H13" s="89">
        <v>88.46</v>
      </c>
      <c r="I13" s="89">
        <v>89.26</v>
      </c>
      <c r="J13" s="89">
        <v>89.28</v>
      </c>
      <c r="K13" s="89">
        <v>93.52</v>
      </c>
      <c r="L13" s="91">
        <v>0.1082</v>
      </c>
      <c r="M13" s="91">
        <v>0.0242</v>
      </c>
      <c r="N13" s="91">
        <v>0.8675</v>
      </c>
      <c r="O13" s="91">
        <v>0.0</v>
      </c>
      <c r="P13" s="91">
        <v>0.063</v>
      </c>
      <c r="Q13" s="91">
        <v>0.0129</v>
      </c>
      <c r="R13" s="91">
        <v>0.0388</v>
      </c>
      <c r="S13" s="91">
        <v>0.7221</v>
      </c>
      <c r="T13" s="91">
        <v>0.0468</v>
      </c>
      <c r="U13" s="91">
        <v>0.0549</v>
      </c>
      <c r="V13" s="91">
        <v>0.0081</v>
      </c>
      <c r="W13" s="91">
        <v>0.0129</v>
      </c>
      <c r="X13" s="91">
        <v>0.0242</v>
      </c>
      <c r="Y13" s="91">
        <v>0.0048</v>
      </c>
    </row>
    <row r="14">
      <c r="C14" s="90" t="str">
        <f t="array" ref="C14">XLOOKUP(D14,'Agent Index'!B:B,'Agent Index'!C:C)</f>
        <v>Deepak Singh K P</v>
      </c>
      <c r="D14" s="89" t="s">
        <v>571</v>
      </c>
      <c r="E14" s="89" t="s">
        <v>573</v>
      </c>
      <c r="F14" s="89">
        <v>89.11</v>
      </c>
      <c r="G14" s="89">
        <v>88.95</v>
      </c>
      <c r="H14" s="89">
        <v>86.97</v>
      </c>
      <c r="I14" s="89">
        <v>88.93</v>
      </c>
      <c r="J14" s="89">
        <v>88.84</v>
      </c>
      <c r="K14" s="89">
        <v>92.36</v>
      </c>
      <c r="L14" s="91">
        <v>0.1764</v>
      </c>
      <c r="M14" s="91">
        <v>0.0216</v>
      </c>
      <c r="N14" s="91">
        <v>0.802</v>
      </c>
      <c r="O14" s="91">
        <v>0.0</v>
      </c>
      <c r="P14" s="91">
        <v>0.0832</v>
      </c>
      <c r="Q14" s="91">
        <v>0.02</v>
      </c>
      <c r="R14" s="91">
        <v>0.0483</v>
      </c>
      <c r="S14" s="91">
        <v>0.7255</v>
      </c>
      <c r="T14" s="91">
        <v>0.0682</v>
      </c>
      <c r="U14" s="91">
        <v>0.025</v>
      </c>
      <c r="V14" s="91">
        <v>0.0033</v>
      </c>
      <c r="W14" s="91">
        <v>0.005</v>
      </c>
      <c r="X14" s="91">
        <v>0.0166</v>
      </c>
      <c r="Y14" s="91">
        <v>0.0</v>
      </c>
    </row>
    <row r="15">
      <c r="C15" s="90" t="str">
        <f t="array" ref="C15">XLOOKUP(D15,'Agent Index'!B:B,'Agent Index'!C:C)</f>
        <v>Faizal K</v>
      </c>
      <c r="D15" s="89" t="s">
        <v>618</v>
      </c>
      <c r="E15" s="89" t="s">
        <v>611</v>
      </c>
      <c r="F15" s="89">
        <v>85.3</v>
      </c>
      <c r="G15" s="89">
        <v>85.5</v>
      </c>
      <c r="H15" s="89">
        <v>82.14</v>
      </c>
      <c r="I15" s="89">
        <v>84.62</v>
      </c>
      <c r="J15" s="89">
        <v>83.05</v>
      </c>
      <c r="K15" s="89">
        <v>91.23</v>
      </c>
      <c r="L15" s="91">
        <v>0.0733</v>
      </c>
      <c r="M15" s="91">
        <v>0.0372</v>
      </c>
      <c r="N15" s="91">
        <v>0.8895</v>
      </c>
      <c r="O15" s="91">
        <v>0.0066</v>
      </c>
      <c r="P15" s="91">
        <v>0.1269</v>
      </c>
      <c r="Q15" s="91">
        <v>0.0066</v>
      </c>
      <c r="R15" s="91">
        <v>0.0383</v>
      </c>
      <c r="S15" s="91">
        <v>0.5864</v>
      </c>
      <c r="T15" s="91">
        <v>0.0733</v>
      </c>
      <c r="U15" s="91">
        <v>0.0503</v>
      </c>
      <c r="V15" s="91">
        <v>0.0361</v>
      </c>
      <c r="W15" s="91">
        <v>0.0022</v>
      </c>
      <c r="X15" s="91">
        <v>0.0284</v>
      </c>
      <c r="Y15" s="91">
        <v>0.0033</v>
      </c>
    </row>
    <row r="16">
      <c r="C16" s="90" t="str">
        <f t="array" ref="C16">XLOOKUP(D16,'Agent Index'!B:B,'Agent Index'!C:C)</f>
        <v>Gayatri Rajput</v>
      </c>
      <c r="D16" s="89" t="s">
        <v>620</v>
      </c>
      <c r="E16" s="89" t="s">
        <v>611</v>
      </c>
      <c r="F16" s="89">
        <v>84.19</v>
      </c>
      <c r="G16" s="89">
        <v>84.96</v>
      </c>
      <c r="H16" s="89">
        <v>80.83</v>
      </c>
      <c r="I16" s="89">
        <v>83.05</v>
      </c>
      <c r="J16" s="89">
        <v>81.17</v>
      </c>
      <c r="K16" s="89">
        <v>90.96</v>
      </c>
      <c r="L16" s="91">
        <v>0.0953</v>
      </c>
      <c r="M16" s="91">
        <v>0.0291</v>
      </c>
      <c r="N16" s="91">
        <v>0.8756</v>
      </c>
      <c r="O16" s="91">
        <v>0.0022</v>
      </c>
      <c r="P16" s="91">
        <v>0.1581</v>
      </c>
      <c r="Q16" s="91">
        <v>0.0101</v>
      </c>
      <c r="R16" s="91">
        <v>0.0516</v>
      </c>
      <c r="S16" s="91">
        <v>0.6413</v>
      </c>
      <c r="T16" s="91">
        <v>0.0504</v>
      </c>
      <c r="U16" s="91">
        <v>0.037</v>
      </c>
      <c r="V16" s="91">
        <v>0.009</v>
      </c>
      <c r="W16" s="91">
        <v>0.0045</v>
      </c>
      <c r="X16" s="91">
        <v>0.0179</v>
      </c>
      <c r="Y16" s="91">
        <v>0.0</v>
      </c>
    </row>
    <row r="17">
      <c r="C17" s="90" t="str">
        <f t="array" ref="C17">XLOOKUP(D17,'Agent Index'!B:B,'Agent Index'!C:C)</f>
        <v>Haleema Sadiya</v>
      </c>
      <c r="D17" s="89" t="s">
        <v>658</v>
      </c>
      <c r="E17" s="89" t="s">
        <v>17</v>
      </c>
      <c r="F17" s="89">
        <v>87.72</v>
      </c>
      <c r="G17" s="89">
        <v>88.13</v>
      </c>
      <c r="H17" s="89">
        <v>86.5</v>
      </c>
      <c r="I17" s="89">
        <v>86.84</v>
      </c>
      <c r="J17" s="89">
        <v>83.55</v>
      </c>
      <c r="K17" s="89">
        <v>92.91</v>
      </c>
      <c r="L17" s="91">
        <v>0.1115</v>
      </c>
      <c r="M17" s="91">
        <v>0.0254</v>
      </c>
      <c r="N17" s="91">
        <v>0.863</v>
      </c>
      <c r="O17" s="91">
        <v>0.0</v>
      </c>
      <c r="P17" s="91">
        <v>0.182</v>
      </c>
      <c r="Q17" s="91">
        <v>0.0274</v>
      </c>
      <c r="R17" s="91">
        <v>0.047</v>
      </c>
      <c r="S17" s="91">
        <v>0.6067</v>
      </c>
      <c r="T17" s="91">
        <v>0.0509</v>
      </c>
      <c r="U17" s="91">
        <v>0.0391</v>
      </c>
      <c r="V17" s="91">
        <v>0.0157</v>
      </c>
      <c r="W17" s="91">
        <v>0.0</v>
      </c>
      <c r="X17" s="91">
        <v>0.0176</v>
      </c>
      <c r="Y17" s="91">
        <v>0.0</v>
      </c>
    </row>
    <row r="18">
      <c r="C18" s="90" t="str">
        <f t="array" ref="C18">XLOOKUP(D18,'Agent Index'!B:B,'Agent Index'!C:C)</f>
        <v>Hannan</v>
      </c>
      <c r="D18" s="89" t="s">
        <v>660</v>
      </c>
      <c r="E18" s="89" t="s">
        <v>17</v>
      </c>
      <c r="F18" s="89">
        <v>86.61</v>
      </c>
      <c r="G18" s="89">
        <v>86.39</v>
      </c>
      <c r="H18" s="89">
        <v>84.68</v>
      </c>
      <c r="I18" s="89">
        <v>86.36</v>
      </c>
      <c r="J18" s="89">
        <v>82.91</v>
      </c>
      <c r="K18" s="89">
        <v>92.28</v>
      </c>
      <c r="L18" s="91">
        <v>0.0585</v>
      </c>
      <c r="M18" s="91">
        <v>0.0407</v>
      </c>
      <c r="N18" s="91">
        <v>0.9008</v>
      </c>
      <c r="O18" s="91">
        <v>0.0016</v>
      </c>
      <c r="P18" s="91">
        <v>0.2504</v>
      </c>
      <c r="Q18" s="91">
        <v>0.0179</v>
      </c>
      <c r="R18" s="91">
        <v>0.0325</v>
      </c>
      <c r="S18" s="91">
        <v>0.5187</v>
      </c>
      <c r="T18" s="91">
        <v>0.0504</v>
      </c>
      <c r="U18" s="91">
        <v>0.0618</v>
      </c>
      <c r="V18" s="91">
        <v>0.0195</v>
      </c>
      <c r="W18" s="91">
        <v>0.0016</v>
      </c>
      <c r="X18" s="91">
        <v>0.0244</v>
      </c>
      <c r="Y18" s="91">
        <v>0.0049</v>
      </c>
    </row>
    <row r="19">
      <c r="C19" s="90" t="str">
        <f t="array" ref="C19">XLOOKUP(D19,'Agent Index'!B:B,'Agent Index'!C:C)</f>
        <v>Haseeb Ur Rehaman</v>
      </c>
      <c r="D19" s="89" t="s">
        <v>553</v>
      </c>
      <c r="E19" s="89" t="s">
        <v>555</v>
      </c>
      <c r="F19" s="89">
        <v>86.75</v>
      </c>
      <c r="G19" s="89">
        <v>86.93</v>
      </c>
      <c r="H19" s="89">
        <v>85.98</v>
      </c>
      <c r="I19" s="89">
        <v>86.31</v>
      </c>
      <c r="J19" s="89">
        <v>82.99</v>
      </c>
      <c r="K19" s="89">
        <v>90.88</v>
      </c>
      <c r="L19" s="91">
        <v>0.1199</v>
      </c>
      <c r="M19" s="91">
        <v>0.0182</v>
      </c>
      <c r="N19" s="91">
        <v>0.8619</v>
      </c>
      <c r="O19" s="91">
        <v>0.0046</v>
      </c>
      <c r="P19" s="91">
        <v>0.0895</v>
      </c>
      <c r="Q19" s="91">
        <v>0.0106</v>
      </c>
      <c r="R19" s="91">
        <v>0.0698</v>
      </c>
      <c r="S19" s="91">
        <v>0.6935</v>
      </c>
      <c r="T19" s="91">
        <v>0.0425</v>
      </c>
      <c r="U19" s="91">
        <v>0.0349</v>
      </c>
      <c r="V19" s="91">
        <v>0.0121</v>
      </c>
      <c r="W19" s="91">
        <v>0.0015</v>
      </c>
      <c r="X19" s="91">
        <v>0.0228</v>
      </c>
      <c r="Y19" s="91">
        <v>0.0</v>
      </c>
    </row>
    <row r="20">
      <c r="C20" s="90" t="str">
        <f t="array" ref="C20">XLOOKUP(D20,'Agent Index'!B:B,'Agent Index'!C:C)</f>
        <v>Kamal Hassan Laskar</v>
      </c>
      <c r="D20" s="89" t="s">
        <v>622</v>
      </c>
      <c r="E20" s="89" t="s">
        <v>611</v>
      </c>
      <c r="F20" s="89">
        <v>89.58</v>
      </c>
      <c r="G20" s="89">
        <v>89.73</v>
      </c>
      <c r="H20" s="89">
        <v>87.16</v>
      </c>
      <c r="I20" s="89">
        <v>88.67</v>
      </c>
      <c r="J20" s="89">
        <v>89.22</v>
      </c>
      <c r="K20" s="89">
        <v>93.59</v>
      </c>
      <c r="L20" s="91">
        <v>0.1363</v>
      </c>
      <c r="M20" s="91">
        <v>0.0249</v>
      </c>
      <c r="N20" s="91">
        <v>0.8388</v>
      </c>
      <c r="O20" s="91">
        <v>0.0052</v>
      </c>
      <c r="P20" s="91">
        <v>0.0983</v>
      </c>
      <c r="Q20" s="91">
        <v>0.0118</v>
      </c>
      <c r="R20" s="91">
        <v>0.0511</v>
      </c>
      <c r="S20" s="91">
        <v>0.6815</v>
      </c>
      <c r="T20" s="91">
        <v>0.0485</v>
      </c>
      <c r="U20" s="91">
        <v>0.0472</v>
      </c>
      <c r="V20" s="91">
        <v>0.0092</v>
      </c>
      <c r="W20" s="91">
        <v>0.0026</v>
      </c>
      <c r="X20" s="91">
        <v>0.0183</v>
      </c>
      <c r="Y20" s="91">
        <v>0.0052</v>
      </c>
    </row>
    <row r="21">
      <c r="C21" s="90" t="str">
        <f t="array" ref="C21">XLOOKUP(D21,'Agent Index'!B:B,'Agent Index'!C:C)</f>
        <v>Karthik K N</v>
      </c>
      <c r="D21" s="89" t="s">
        <v>650</v>
      </c>
      <c r="E21" s="89" t="s">
        <v>649</v>
      </c>
      <c r="F21" s="89">
        <v>83.98</v>
      </c>
      <c r="G21" s="89">
        <v>86.85</v>
      </c>
      <c r="H21" s="89">
        <v>84.95</v>
      </c>
      <c r="I21" s="89">
        <v>86.91</v>
      </c>
      <c r="J21" s="89">
        <v>86.79</v>
      </c>
      <c r="K21" s="89">
        <v>92.31</v>
      </c>
      <c r="L21" s="91">
        <v>0.1353</v>
      </c>
      <c r="M21" s="91">
        <v>0.0264</v>
      </c>
      <c r="N21" s="91">
        <v>0.8383</v>
      </c>
      <c r="O21" s="91">
        <v>0.0053</v>
      </c>
      <c r="P21" s="91">
        <v>0.1054</v>
      </c>
      <c r="Q21" s="91">
        <v>0.0228</v>
      </c>
      <c r="R21" s="91">
        <v>0.065</v>
      </c>
      <c r="S21" s="91">
        <v>0.6907</v>
      </c>
      <c r="T21" s="91">
        <v>0.0281</v>
      </c>
      <c r="U21" s="91">
        <v>0.0299</v>
      </c>
      <c r="V21" s="91">
        <v>0.0123</v>
      </c>
      <c r="W21" s="91">
        <v>0.0018</v>
      </c>
      <c r="X21" s="91">
        <v>0.0264</v>
      </c>
      <c r="Y21" s="91">
        <v>0.0018</v>
      </c>
    </row>
    <row r="22">
      <c r="C22" s="90" t="str">
        <f t="array" ref="C22">XLOOKUP(D22,'Agent Index'!B:B,'Agent Index'!C:C)</f>
        <v>Kondareddygari Peddireddy</v>
      </c>
      <c r="D22" s="89" t="s">
        <v>584</v>
      </c>
      <c r="E22" s="89" t="s">
        <v>583</v>
      </c>
      <c r="F22" s="89">
        <v>84.37</v>
      </c>
      <c r="G22" s="89">
        <v>85.93</v>
      </c>
      <c r="H22" s="89">
        <v>82.01</v>
      </c>
      <c r="I22" s="89">
        <v>83.73</v>
      </c>
      <c r="J22" s="89">
        <v>79.71</v>
      </c>
      <c r="K22" s="89">
        <v>89.87</v>
      </c>
      <c r="L22" s="91">
        <v>0.1635</v>
      </c>
      <c r="M22" s="91">
        <v>0.0285</v>
      </c>
      <c r="N22" s="91">
        <v>0.808</v>
      </c>
      <c r="O22" s="91">
        <v>0.0038</v>
      </c>
      <c r="P22" s="91">
        <v>0.0665</v>
      </c>
      <c r="Q22" s="91">
        <v>0.0209</v>
      </c>
      <c r="R22" s="91">
        <v>0.1046</v>
      </c>
      <c r="S22" s="91">
        <v>0.6578</v>
      </c>
      <c r="T22" s="91">
        <v>0.0361</v>
      </c>
      <c r="U22" s="91">
        <v>0.0494</v>
      </c>
      <c r="V22" s="91">
        <v>0.0171</v>
      </c>
      <c r="W22" s="91">
        <v>0.0038</v>
      </c>
      <c r="X22" s="91">
        <v>0.0361</v>
      </c>
      <c r="Y22" s="91">
        <v>0.0019</v>
      </c>
    </row>
    <row r="23">
      <c r="C23" s="90" t="str">
        <f t="array" ref="C23">XLOOKUP(D23,'Agent Index'!B:B,'Agent Index'!C:C)</f>
        <v>Mahalakshmi K N</v>
      </c>
      <c r="D23" s="89" t="s">
        <v>563</v>
      </c>
      <c r="E23" s="89" t="s">
        <v>562</v>
      </c>
      <c r="F23" s="89">
        <v>90.29</v>
      </c>
      <c r="G23" s="89">
        <v>90.09</v>
      </c>
      <c r="H23" s="89">
        <v>88.3</v>
      </c>
      <c r="I23" s="89">
        <v>90.09</v>
      </c>
      <c r="J23" s="89">
        <v>89.71</v>
      </c>
      <c r="K23" s="89">
        <v>93.49</v>
      </c>
      <c r="L23" s="91">
        <v>0.1818</v>
      </c>
      <c r="M23" s="91">
        <v>0.0</v>
      </c>
      <c r="N23" s="91">
        <v>0.8182</v>
      </c>
      <c r="O23" s="91">
        <v>0.0</v>
      </c>
      <c r="P23" s="91">
        <v>0.0634</v>
      </c>
      <c r="Q23" s="91">
        <v>0.0444</v>
      </c>
      <c r="R23" s="91">
        <v>0.0803</v>
      </c>
      <c r="S23" s="91">
        <v>0.6913</v>
      </c>
      <c r="T23" s="91">
        <v>0.0529</v>
      </c>
      <c r="U23" s="91">
        <v>0.0359</v>
      </c>
      <c r="V23" s="91">
        <v>0.0085</v>
      </c>
      <c r="W23" s="91">
        <v>0.0</v>
      </c>
      <c r="X23" s="91">
        <v>0.0169</v>
      </c>
      <c r="Y23" s="91">
        <v>0.0</v>
      </c>
    </row>
    <row r="24">
      <c r="C24" s="90" t="str">
        <f t="array" ref="C24">XLOOKUP(D24,'Agent Index'!B:B,'Agent Index'!C:C)</f>
        <v>Manthesh R</v>
      </c>
      <c r="D24" s="89" t="s">
        <v>586</v>
      </c>
      <c r="E24" s="89" t="s">
        <v>583</v>
      </c>
      <c r="F24" s="89">
        <v>87.37</v>
      </c>
      <c r="G24" s="89">
        <v>86.89</v>
      </c>
      <c r="H24" s="89">
        <v>85.6</v>
      </c>
      <c r="I24" s="89">
        <v>86.84</v>
      </c>
      <c r="J24" s="89">
        <v>85.92</v>
      </c>
      <c r="K24" s="89">
        <v>91.96</v>
      </c>
      <c r="L24" s="91">
        <v>0.1066</v>
      </c>
      <c r="M24" s="91">
        <v>0.0362</v>
      </c>
      <c r="N24" s="91">
        <v>0.8571</v>
      </c>
      <c r="O24" s="91">
        <v>0.002</v>
      </c>
      <c r="P24" s="91">
        <v>0.0584</v>
      </c>
      <c r="Q24" s="91">
        <v>0.0181</v>
      </c>
      <c r="R24" s="91">
        <v>0.0845</v>
      </c>
      <c r="S24" s="91">
        <v>0.6499</v>
      </c>
      <c r="T24" s="91">
        <v>0.0523</v>
      </c>
      <c r="U24" s="91">
        <v>0.0563</v>
      </c>
      <c r="V24" s="91">
        <v>0.0161</v>
      </c>
      <c r="W24" s="91">
        <v>0.008</v>
      </c>
      <c r="X24" s="91">
        <v>0.0322</v>
      </c>
      <c r="Y24" s="91">
        <v>0.006</v>
      </c>
    </row>
    <row r="25">
      <c r="C25" s="90" t="str">
        <f t="array" ref="C25">XLOOKUP(D25,'Agent Index'!B:B,'Agent Index'!C:C)</f>
        <v>R Maria Reena</v>
      </c>
      <c r="D25" s="89" t="s">
        <v>624</v>
      </c>
      <c r="E25" s="89" t="s">
        <v>611</v>
      </c>
      <c r="F25" s="89">
        <v>87.55</v>
      </c>
      <c r="G25" s="89">
        <v>87.62</v>
      </c>
      <c r="H25" s="89">
        <v>84.15</v>
      </c>
      <c r="I25" s="89">
        <v>86.91</v>
      </c>
      <c r="J25" s="89">
        <v>88.6</v>
      </c>
      <c r="K25" s="89">
        <v>91.39</v>
      </c>
      <c r="L25" s="91">
        <v>0.0913</v>
      </c>
      <c r="M25" s="91">
        <v>0.0181</v>
      </c>
      <c r="N25" s="91">
        <v>0.8907</v>
      </c>
      <c r="O25" s="91">
        <v>0.002</v>
      </c>
      <c r="P25" s="91">
        <v>0.0802</v>
      </c>
      <c r="Q25" s="91">
        <v>0.0281</v>
      </c>
      <c r="R25" s="91">
        <v>0.0331</v>
      </c>
      <c r="S25" s="91">
        <v>0.7292</v>
      </c>
      <c r="T25" s="91">
        <v>0.0381</v>
      </c>
      <c r="U25" s="91">
        <v>0.0502</v>
      </c>
      <c r="V25" s="91">
        <v>0.006</v>
      </c>
      <c r="W25" s="91">
        <v>0.003</v>
      </c>
      <c r="X25" s="91">
        <v>0.0191</v>
      </c>
      <c r="Y25" s="91">
        <v>0.001</v>
      </c>
    </row>
    <row r="26">
      <c r="C26" s="90" t="str">
        <f t="array" ref="C26">XLOOKUP(D26,'Agent Index'!B:B,'Agent Index'!C:C)</f>
        <v/>
      </c>
      <c r="D26" s="89" t="s">
        <v>675</v>
      </c>
      <c r="E26" s="89" t="s">
        <v>673</v>
      </c>
      <c r="F26" s="89">
        <v>88.65</v>
      </c>
      <c r="G26" s="89">
        <v>89.26</v>
      </c>
      <c r="H26" s="89">
        <v>86.0</v>
      </c>
      <c r="I26" s="89">
        <v>89.67</v>
      </c>
      <c r="J26" s="89">
        <v>84.47</v>
      </c>
      <c r="K26" s="89">
        <v>93.06</v>
      </c>
      <c r="L26" s="91">
        <v>0.2107</v>
      </c>
      <c r="M26" s="91">
        <v>0.063</v>
      </c>
      <c r="N26" s="91">
        <v>0.7264</v>
      </c>
      <c r="O26" s="91">
        <v>0.0145</v>
      </c>
      <c r="P26" s="91">
        <v>0.046</v>
      </c>
      <c r="Q26" s="91">
        <v>0.0436</v>
      </c>
      <c r="R26" s="91">
        <v>0.1792</v>
      </c>
      <c r="S26" s="91">
        <v>0.4165</v>
      </c>
      <c r="T26" s="91">
        <v>0.1332</v>
      </c>
      <c r="U26" s="91">
        <v>0.0194</v>
      </c>
      <c r="V26" s="91">
        <v>0.0024</v>
      </c>
      <c r="W26" s="91">
        <v>0.0073</v>
      </c>
      <c r="X26" s="91">
        <v>0.1041</v>
      </c>
      <c r="Y26" s="91">
        <v>0.0121</v>
      </c>
    </row>
    <row r="27">
      <c r="C27" s="90" t="str">
        <f t="array" ref="C27">XLOOKUP(D27,'Agent Index'!B:B,'Agent Index'!C:C)</f>
        <v>H M D Mubbassir</v>
      </c>
      <c r="D27" s="89" t="s">
        <v>652</v>
      </c>
      <c r="E27" s="89" t="s">
        <v>649</v>
      </c>
      <c r="F27" s="89">
        <v>85.63</v>
      </c>
      <c r="G27" s="89">
        <v>86.6</v>
      </c>
      <c r="H27" s="89">
        <v>83.52</v>
      </c>
      <c r="I27" s="89">
        <v>85.7</v>
      </c>
      <c r="J27" s="89">
        <v>82.06</v>
      </c>
      <c r="K27" s="89">
        <v>89.9</v>
      </c>
      <c r="L27" s="91">
        <v>0.1421</v>
      </c>
      <c r="M27" s="91">
        <v>0.0342</v>
      </c>
      <c r="N27" s="91">
        <v>0.8237</v>
      </c>
      <c r="O27" s="91">
        <v>0.0036</v>
      </c>
      <c r="P27" s="91">
        <v>0.0737</v>
      </c>
      <c r="Q27" s="91">
        <v>0.0144</v>
      </c>
      <c r="R27" s="91">
        <v>0.0234</v>
      </c>
      <c r="S27" s="91">
        <v>0.7572</v>
      </c>
      <c r="T27" s="91">
        <v>0.0234</v>
      </c>
      <c r="U27" s="91">
        <v>0.0594</v>
      </c>
      <c r="V27" s="91">
        <v>0.0144</v>
      </c>
      <c r="W27" s="91">
        <v>0.009</v>
      </c>
      <c r="X27" s="91">
        <v>0.0126</v>
      </c>
      <c r="Y27" s="91">
        <v>0.0018</v>
      </c>
    </row>
    <row r="28">
      <c r="C28" s="90" t="str">
        <f t="array" ref="C28">XLOOKUP(D28,'Agent Index'!B:B,'Agent Index'!C:C)</f>
        <v>Misba Azhar</v>
      </c>
      <c r="D28" s="89" t="s">
        <v>574</v>
      </c>
      <c r="E28" s="89" t="s">
        <v>573</v>
      </c>
      <c r="F28" s="89">
        <v>85.71</v>
      </c>
      <c r="G28" s="89">
        <v>84.9</v>
      </c>
      <c r="H28" s="89">
        <v>83.78</v>
      </c>
      <c r="I28" s="89">
        <v>84.78</v>
      </c>
      <c r="J28" s="89">
        <v>85.59</v>
      </c>
      <c r="K28" s="89">
        <v>90.07</v>
      </c>
      <c r="L28" s="91">
        <v>0.0874</v>
      </c>
      <c r="M28" s="91">
        <v>0.0175</v>
      </c>
      <c r="N28" s="91">
        <v>0.8951</v>
      </c>
      <c r="O28" s="91">
        <v>0.0019</v>
      </c>
      <c r="P28" s="91">
        <v>0.1029</v>
      </c>
      <c r="Q28" s="91">
        <v>0.0058</v>
      </c>
      <c r="R28" s="91">
        <v>0.0835</v>
      </c>
      <c r="S28" s="91">
        <v>0.6233</v>
      </c>
      <c r="T28" s="91">
        <v>0.0388</v>
      </c>
      <c r="U28" s="91">
        <v>0.068</v>
      </c>
      <c r="V28" s="91">
        <v>0.0155</v>
      </c>
      <c r="W28" s="91">
        <v>0.0019</v>
      </c>
      <c r="X28" s="91">
        <v>0.0408</v>
      </c>
      <c r="Y28" s="91">
        <v>0.0</v>
      </c>
    </row>
    <row r="29">
      <c r="C29" s="90" t="str">
        <f t="array" ref="C29">XLOOKUP(D29,'Agent Index'!B:B,'Agent Index'!C:C)</f>
        <v>Mohammed Shuaib</v>
      </c>
      <c r="D29" s="89" t="s">
        <v>662</v>
      </c>
      <c r="E29" s="89" t="s">
        <v>17</v>
      </c>
      <c r="F29" s="89">
        <v>83.43</v>
      </c>
      <c r="G29" s="89">
        <v>84.32</v>
      </c>
      <c r="H29" s="89">
        <v>83.96</v>
      </c>
      <c r="I29" s="89">
        <v>83.4</v>
      </c>
      <c r="J29" s="89">
        <v>74.69</v>
      </c>
      <c r="K29" s="89">
        <v>88.72</v>
      </c>
      <c r="L29" s="91">
        <v>0.0954</v>
      </c>
      <c r="M29" s="91">
        <v>0.0439</v>
      </c>
      <c r="N29" s="91">
        <v>0.8607</v>
      </c>
      <c r="O29" s="91">
        <v>0.0</v>
      </c>
      <c r="P29" s="91">
        <v>0.1698</v>
      </c>
      <c r="Q29" s="91">
        <v>0.0134</v>
      </c>
      <c r="R29" s="91">
        <v>0.0573</v>
      </c>
      <c r="S29" s="91">
        <v>0.3969</v>
      </c>
      <c r="T29" s="91">
        <v>0.1336</v>
      </c>
      <c r="U29" s="91">
        <v>0.0534</v>
      </c>
      <c r="V29" s="91">
        <v>0.042</v>
      </c>
      <c r="W29" s="91">
        <v>0.0076</v>
      </c>
      <c r="X29" s="91">
        <v>0.0382</v>
      </c>
      <c r="Y29" s="91">
        <v>0.0</v>
      </c>
    </row>
    <row r="30">
      <c r="C30" s="90" t="str">
        <f t="array" ref="C30">XLOOKUP(D30,'Agent Index'!B:B,'Agent Index'!C:C)</f>
        <v>Mohammed Suhail</v>
      </c>
      <c r="D30" s="89" t="s">
        <v>576</v>
      </c>
      <c r="E30" s="89" t="s">
        <v>573</v>
      </c>
      <c r="F30" s="89">
        <v>89.95</v>
      </c>
      <c r="G30" s="89">
        <v>89.85</v>
      </c>
      <c r="H30" s="89">
        <v>87.58</v>
      </c>
      <c r="I30" s="89">
        <v>90.36</v>
      </c>
      <c r="J30" s="89">
        <v>88.82</v>
      </c>
      <c r="K30" s="89">
        <v>93.43</v>
      </c>
      <c r="L30" s="91">
        <v>0.2352</v>
      </c>
      <c r="M30" s="91">
        <v>0.009</v>
      </c>
      <c r="N30" s="91">
        <v>0.7558</v>
      </c>
      <c r="O30" s="91">
        <v>0.0</v>
      </c>
      <c r="P30" s="91">
        <v>0.0521</v>
      </c>
      <c r="Q30" s="91">
        <v>0.0592</v>
      </c>
      <c r="R30" s="91">
        <v>0.0521</v>
      </c>
      <c r="S30" s="91">
        <v>0.7451</v>
      </c>
      <c r="T30" s="91">
        <v>0.0233</v>
      </c>
      <c r="U30" s="91">
        <v>0.0395</v>
      </c>
      <c r="V30" s="91">
        <v>0.0018</v>
      </c>
      <c r="W30" s="91">
        <v>0.0072</v>
      </c>
      <c r="X30" s="91">
        <v>0.0108</v>
      </c>
      <c r="Y30" s="91">
        <v>0.0</v>
      </c>
    </row>
    <row r="31">
      <c r="C31" s="90" t="str">
        <f t="array" ref="C31">XLOOKUP(D31,'Agent Index'!B:B,'Agent Index'!C:C)</f>
        <v>Mohammed Tameem</v>
      </c>
      <c r="D31" s="89" t="s">
        <v>664</v>
      </c>
      <c r="E31" s="89" t="s">
        <v>17</v>
      </c>
      <c r="F31" s="89">
        <v>85.83</v>
      </c>
      <c r="G31" s="89">
        <v>86.51</v>
      </c>
      <c r="H31" s="89">
        <v>83.77</v>
      </c>
      <c r="I31" s="89">
        <v>86.11</v>
      </c>
      <c r="J31" s="89">
        <v>79.96</v>
      </c>
      <c r="K31" s="89">
        <v>91.82</v>
      </c>
      <c r="L31" s="91">
        <v>0.1279</v>
      </c>
      <c r="M31" s="91">
        <v>0.0366</v>
      </c>
      <c r="N31" s="91">
        <v>0.8355</v>
      </c>
      <c r="O31" s="91">
        <v>0.0</v>
      </c>
      <c r="P31" s="91">
        <v>0.0966</v>
      </c>
      <c r="Q31" s="91">
        <v>0.0131</v>
      </c>
      <c r="R31" s="91">
        <v>0.0522</v>
      </c>
      <c r="S31" s="91">
        <v>0.6632</v>
      </c>
      <c r="T31" s="91">
        <v>0.0418</v>
      </c>
      <c r="U31" s="91">
        <v>0.0627</v>
      </c>
      <c r="V31" s="91">
        <v>0.0104</v>
      </c>
      <c r="W31" s="91">
        <v>0.0026</v>
      </c>
      <c r="X31" s="91">
        <v>0.0366</v>
      </c>
      <c r="Y31" s="91">
        <v>0.0026</v>
      </c>
    </row>
    <row r="32">
      <c r="C32" s="90" t="str">
        <f t="array" ref="C32">XLOOKUP(D32,'Agent Index'!B:B,'Agent Index'!C:C)</f>
        <v>Mohammed Zeeshan</v>
      </c>
      <c r="D32" s="89" t="s">
        <v>666</v>
      </c>
      <c r="E32" s="89" t="s">
        <v>17</v>
      </c>
      <c r="F32" s="89">
        <v>83.72</v>
      </c>
      <c r="G32" s="89">
        <v>84.39</v>
      </c>
      <c r="H32" s="89">
        <v>82.96</v>
      </c>
      <c r="I32" s="89">
        <v>83.31</v>
      </c>
      <c r="J32" s="89">
        <v>75.7</v>
      </c>
      <c r="K32" s="89">
        <v>90.54</v>
      </c>
      <c r="L32" s="91">
        <v>0.0472</v>
      </c>
      <c r="M32" s="91">
        <v>0.0472</v>
      </c>
      <c r="N32" s="91">
        <v>0.9055</v>
      </c>
      <c r="O32" s="91">
        <v>0.0013</v>
      </c>
      <c r="P32" s="91">
        <v>0.2901</v>
      </c>
      <c r="Q32" s="91">
        <v>0.0175</v>
      </c>
      <c r="R32" s="91">
        <v>0.0135</v>
      </c>
      <c r="S32" s="91">
        <v>0.4845</v>
      </c>
      <c r="T32" s="91">
        <v>0.0715</v>
      </c>
      <c r="U32" s="91">
        <v>0.0351</v>
      </c>
      <c r="V32" s="91">
        <v>0.0283</v>
      </c>
      <c r="W32" s="91">
        <v>0.0</v>
      </c>
      <c r="X32" s="91">
        <v>0.0297</v>
      </c>
      <c r="Y32" s="91">
        <v>0.0027</v>
      </c>
    </row>
    <row r="33">
      <c r="C33" s="90" t="str">
        <f t="array" ref="C33">XLOOKUP(D33,'Agent Index'!B:B,'Agent Index'!C:C)</f>
        <v>Mohammed Shoaib A</v>
      </c>
      <c r="D33" s="89" t="s">
        <v>588</v>
      </c>
      <c r="E33" s="89" t="s">
        <v>583</v>
      </c>
      <c r="F33" s="89">
        <v>86.37</v>
      </c>
      <c r="G33" s="89">
        <v>85.84</v>
      </c>
      <c r="H33" s="89">
        <v>83.71</v>
      </c>
      <c r="I33" s="89">
        <v>86.88</v>
      </c>
      <c r="J33" s="89">
        <v>84.06</v>
      </c>
      <c r="K33" s="89">
        <v>91.53</v>
      </c>
      <c r="L33" s="91">
        <v>0.1178</v>
      </c>
      <c r="M33" s="91">
        <v>0.032</v>
      </c>
      <c r="N33" s="91">
        <v>0.8502</v>
      </c>
      <c r="O33" s="91">
        <v>0.0</v>
      </c>
      <c r="P33" s="91">
        <v>0.096</v>
      </c>
      <c r="Q33" s="91">
        <v>0.0421</v>
      </c>
      <c r="R33" s="91">
        <v>0.0236</v>
      </c>
      <c r="S33" s="91">
        <v>0.6549</v>
      </c>
      <c r="T33" s="91">
        <v>0.0505</v>
      </c>
      <c r="U33" s="91">
        <v>0.0707</v>
      </c>
      <c r="V33" s="91">
        <v>0.0219</v>
      </c>
      <c r="W33" s="91">
        <v>0.0067</v>
      </c>
      <c r="X33" s="91">
        <v>0.0135</v>
      </c>
      <c r="Y33" s="91">
        <v>0.0017</v>
      </c>
    </row>
    <row r="34">
      <c r="C34" s="90" t="str">
        <f t="array" ref="C34">XLOOKUP(D34,'Agent Index'!B:B,'Agent Index'!C:C)</f>
        <v>Muzammil Khan</v>
      </c>
      <c r="D34" s="89" t="s">
        <v>601</v>
      </c>
      <c r="E34" s="89" t="s">
        <v>598</v>
      </c>
      <c r="F34" s="89">
        <v>89.99</v>
      </c>
      <c r="G34" s="89">
        <v>90.5</v>
      </c>
      <c r="H34" s="89">
        <v>87.06</v>
      </c>
      <c r="I34" s="89">
        <v>89.58</v>
      </c>
      <c r="J34" s="89">
        <v>89.74</v>
      </c>
      <c r="K34" s="89">
        <v>93.69</v>
      </c>
      <c r="L34" s="91">
        <v>0.2283</v>
      </c>
      <c r="M34" s="91">
        <v>0.0465</v>
      </c>
      <c r="N34" s="91">
        <v>0.7252</v>
      </c>
      <c r="O34" s="91">
        <v>0.0127</v>
      </c>
      <c r="P34" s="91">
        <v>0.0677</v>
      </c>
      <c r="Q34" s="91">
        <v>0.0592</v>
      </c>
      <c r="R34" s="91">
        <v>0.0761</v>
      </c>
      <c r="S34" s="91">
        <v>0.5814</v>
      </c>
      <c r="T34" s="91">
        <v>0.0825</v>
      </c>
      <c r="U34" s="91">
        <v>0.0507</v>
      </c>
      <c r="V34" s="91">
        <v>0.0127</v>
      </c>
      <c r="W34" s="91">
        <v>0.0021</v>
      </c>
      <c r="X34" s="91">
        <v>0.0529</v>
      </c>
      <c r="Y34" s="91">
        <v>0.0063</v>
      </c>
    </row>
    <row r="35">
      <c r="C35" s="90" t="str">
        <f t="array" ref="C35">XLOOKUP(D35,'Agent Index'!B:B,'Agent Index'!C:C)</f>
        <v/>
      </c>
      <c r="D35" s="89" t="s">
        <v>676</v>
      </c>
      <c r="E35" s="89" t="s">
        <v>673</v>
      </c>
      <c r="F35" s="89">
        <v>85.57</v>
      </c>
      <c r="G35" s="89">
        <v>86.43</v>
      </c>
      <c r="H35" s="89">
        <v>80.08</v>
      </c>
      <c r="I35" s="89">
        <v>88.01</v>
      </c>
      <c r="J35" s="89">
        <v>82.56</v>
      </c>
      <c r="K35" s="89">
        <v>91.39</v>
      </c>
      <c r="L35" s="91">
        <v>0.1875</v>
      </c>
      <c r="M35" s="91">
        <v>0.0486</v>
      </c>
      <c r="N35" s="91">
        <v>0.7639</v>
      </c>
      <c r="O35" s="91">
        <v>0.0069</v>
      </c>
      <c r="P35" s="91">
        <v>0.0208</v>
      </c>
      <c r="Q35" s="91">
        <v>0.0764</v>
      </c>
      <c r="R35" s="91">
        <v>0.1806</v>
      </c>
      <c r="S35" s="91">
        <v>0.6042</v>
      </c>
      <c r="T35" s="91">
        <v>0.1042</v>
      </c>
      <c r="U35" s="91">
        <v>0.0</v>
      </c>
      <c r="V35" s="91">
        <v>0.0</v>
      </c>
      <c r="W35" s="91">
        <v>0.0</v>
      </c>
      <c r="X35" s="91">
        <v>0.0069</v>
      </c>
      <c r="Y35" s="91">
        <v>0.0</v>
      </c>
    </row>
    <row r="36">
      <c r="C36" s="90" t="str">
        <f t="array" ref="C36">XLOOKUP(D36,'Agent Index'!B:B,'Agent Index'!C:C)</f>
        <v>Nitish Kumar Singh</v>
      </c>
      <c r="D36" s="89" t="s">
        <v>603</v>
      </c>
      <c r="E36" s="89" t="s">
        <v>598</v>
      </c>
      <c r="F36" s="89">
        <v>90.36</v>
      </c>
      <c r="G36" s="89">
        <v>90.37</v>
      </c>
      <c r="H36" s="89">
        <v>88.2</v>
      </c>
      <c r="I36" s="89">
        <v>89.59</v>
      </c>
      <c r="J36" s="89">
        <v>90.45</v>
      </c>
      <c r="K36" s="89">
        <v>93.74</v>
      </c>
      <c r="L36" s="91">
        <v>0.1402</v>
      </c>
      <c r="M36" s="91">
        <v>0.0392</v>
      </c>
      <c r="N36" s="91">
        <v>0.8206</v>
      </c>
      <c r="O36" s="91">
        <v>0.0186</v>
      </c>
      <c r="P36" s="91">
        <v>0.0784</v>
      </c>
      <c r="Q36" s="91">
        <v>0.0206</v>
      </c>
      <c r="R36" s="91">
        <v>0.1031</v>
      </c>
      <c r="S36" s="91">
        <v>0.5814</v>
      </c>
      <c r="T36" s="91">
        <v>0.0412</v>
      </c>
      <c r="U36" s="91">
        <v>0.0577</v>
      </c>
      <c r="V36" s="91">
        <v>0.0165</v>
      </c>
      <c r="W36" s="91">
        <v>0.0124</v>
      </c>
      <c r="X36" s="91">
        <v>0.0598</v>
      </c>
      <c r="Y36" s="91">
        <v>0.0041</v>
      </c>
    </row>
    <row r="37">
      <c r="C37" s="90" t="str">
        <f t="array" ref="C37">XLOOKUP(D37,'Agent Index'!B:B,'Agent Index'!C:C)</f>
        <v>Praneeth Sanil</v>
      </c>
      <c r="D37" s="89" t="s">
        <v>645</v>
      </c>
      <c r="E37" s="89" t="s">
        <v>644</v>
      </c>
      <c r="F37" s="89">
        <v>83.83</v>
      </c>
      <c r="G37" s="89">
        <v>84.41</v>
      </c>
      <c r="H37" s="89">
        <v>82.41</v>
      </c>
      <c r="I37" s="89">
        <v>84.43</v>
      </c>
      <c r="J37" s="89">
        <v>80.28</v>
      </c>
      <c r="K37" s="89">
        <v>87.23</v>
      </c>
      <c r="L37" s="91">
        <v>0.1406</v>
      </c>
      <c r="M37" s="91">
        <v>0.0106</v>
      </c>
      <c r="N37" s="91">
        <v>0.8488</v>
      </c>
      <c r="O37" s="91">
        <v>0.0</v>
      </c>
      <c r="P37" s="91">
        <v>0.0597</v>
      </c>
      <c r="Q37" s="91">
        <v>0.0106</v>
      </c>
      <c r="R37" s="91">
        <v>0.061</v>
      </c>
      <c r="S37" s="91">
        <v>0.6525</v>
      </c>
      <c r="T37" s="91">
        <v>0.0597</v>
      </c>
      <c r="U37" s="91">
        <v>0.0676</v>
      </c>
      <c r="V37" s="91">
        <v>0.0225</v>
      </c>
      <c r="W37" s="91">
        <v>0.0066</v>
      </c>
      <c r="X37" s="91">
        <v>0.0438</v>
      </c>
      <c r="Y37" s="91">
        <v>0.0</v>
      </c>
    </row>
    <row r="38">
      <c r="C38" s="90" t="str">
        <f t="array" ref="C38">XLOOKUP(D38,'Agent Index'!B:B,'Agent Index'!C:C)</f>
        <v>Priyanka Hanumappa Nagaral</v>
      </c>
      <c r="D38" s="89" t="s">
        <v>590</v>
      </c>
      <c r="E38" s="89" t="s">
        <v>583</v>
      </c>
      <c r="F38" s="89">
        <v>84.81</v>
      </c>
      <c r="G38" s="89">
        <v>85.04</v>
      </c>
      <c r="H38" s="89">
        <v>82.37</v>
      </c>
      <c r="I38" s="89">
        <v>83.84</v>
      </c>
      <c r="J38" s="89">
        <v>82.39</v>
      </c>
      <c r="K38" s="89">
        <v>90.4</v>
      </c>
      <c r="L38" s="91">
        <v>0.0957</v>
      </c>
      <c r="M38" s="91">
        <v>0.0262</v>
      </c>
      <c r="N38" s="91">
        <v>0.8781</v>
      </c>
      <c r="O38" s="91">
        <v>0.0031</v>
      </c>
      <c r="P38" s="91">
        <v>0.1003</v>
      </c>
      <c r="Q38" s="91">
        <v>0.0139</v>
      </c>
      <c r="R38" s="91">
        <v>0.0417</v>
      </c>
      <c r="S38" s="91">
        <v>0.6759</v>
      </c>
      <c r="T38" s="91">
        <v>0.071</v>
      </c>
      <c r="U38" s="91">
        <v>0.0478</v>
      </c>
      <c r="V38" s="91">
        <v>0.0108</v>
      </c>
      <c r="W38" s="91">
        <v>0.0062</v>
      </c>
      <c r="X38" s="91">
        <v>0.0201</v>
      </c>
      <c r="Y38" s="91">
        <v>0.0046</v>
      </c>
    </row>
    <row r="39">
      <c r="C39" s="90" t="str">
        <f t="array" ref="C39">XLOOKUP(D39,'Agent Index'!B:B,'Agent Index'!C:C)</f>
        <v>Rahila Rashid</v>
      </c>
      <c r="D39" s="89" t="s">
        <v>577</v>
      </c>
      <c r="E39" s="89" t="s">
        <v>573</v>
      </c>
      <c r="F39" s="89">
        <v>88.84</v>
      </c>
      <c r="G39" s="89">
        <v>89.73</v>
      </c>
      <c r="H39" s="89">
        <v>86.0</v>
      </c>
      <c r="I39" s="89">
        <v>87.72</v>
      </c>
      <c r="J39" s="89">
        <v>88.78</v>
      </c>
      <c r="K39" s="89">
        <v>92.49</v>
      </c>
      <c r="L39" s="91">
        <v>0.2176</v>
      </c>
      <c r="M39" s="91">
        <v>0.0193</v>
      </c>
      <c r="N39" s="91">
        <v>0.7631</v>
      </c>
      <c r="O39" s="91">
        <v>0.0028</v>
      </c>
      <c r="P39" s="91">
        <v>0.0744</v>
      </c>
      <c r="Q39" s="91">
        <v>0.011</v>
      </c>
      <c r="R39" s="91">
        <v>0.0496</v>
      </c>
      <c r="S39" s="91">
        <v>0.6915</v>
      </c>
      <c r="T39" s="91">
        <v>0.0496</v>
      </c>
      <c r="U39" s="91">
        <v>0.0358</v>
      </c>
      <c r="V39" s="91">
        <v>0.0028</v>
      </c>
      <c r="W39" s="91">
        <v>0.0138</v>
      </c>
      <c r="X39" s="91">
        <v>0.0468</v>
      </c>
      <c r="Y39" s="91">
        <v>0.0028</v>
      </c>
    </row>
    <row r="40">
      <c r="C40" s="90" t="str">
        <f t="array" ref="C40">XLOOKUP(D40,'Agent Index'!B:B,'Agent Index'!C:C)</f>
        <v>Rajesh Das</v>
      </c>
      <c r="D40" s="89" t="s">
        <v>605</v>
      </c>
      <c r="E40" s="89" t="s">
        <v>598</v>
      </c>
      <c r="F40" s="89">
        <v>88.81</v>
      </c>
      <c r="G40" s="89">
        <v>89.89</v>
      </c>
      <c r="H40" s="89">
        <v>86.47</v>
      </c>
      <c r="I40" s="89">
        <v>87.78</v>
      </c>
      <c r="J40" s="89">
        <v>87.18</v>
      </c>
      <c r="K40" s="89">
        <v>92.87</v>
      </c>
      <c r="L40" s="91">
        <v>0.1669</v>
      </c>
      <c r="M40" s="91">
        <v>0.0477</v>
      </c>
      <c r="N40" s="91">
        <v>0.7854</v>
      </c>
      <c r="O40" s="91">
        <v>0.0168</v>
      </c>
      <c r="P40" s="91">
        <v>0.0743</v>
      </c>
      <c r="Q40" s="91">
        <v>0.0351</v>
      </c>
      <c r="R40" s="91">
        <v>0.0996</v>
      </c>
      <c r="S40" s="91">
        <v>0.5877</v>
      </c>
      <c r="T40" s="91">
        <v>0.0533</v>
      </c>
      <c r="U40" s="91">
        <v>0.0491</v>
      </c>
      <c r="V40" s="91">
        <v>0.0084</v>
      </c>
      <c r="W40" s="91">
        <v>0.007</v>
      </c>
      <c r="X40" s="91">
        <v>0.0631</v>
      </c>
      <c r="Y40" s="91">
        <v>0.0042</v>
      </c>
    </row>
    <row r="41">
      <c r="C41" s="90" t="str">
        <f t="array" ref="C41">XLOOKUP(D41,'Agent Index'!B:B,'Agent Index'!C:C)</f>
        <v>M Ramya Priya</v>
      </c>
      <c r="D41" s="89" t="s">
        <v>565</v>
      </c>
      <c r="E41" s="89" t="s">
        <v>562</v>
      </c>
      <c r="F41" s="89">
        <v>87.72</v>
      </c>
      <c r="G41" s="89">
        <v>87.47</v>
      </c>
      <c r="H41" s="89">
        <v>85.18</v>
      </c>
      <c r="I41" s="89">
        <v>86.54</v>
      </c>
      <c r="J41" s="89">
        <v>88.19</v>
      </c>
      <c r="K41" s="89">
        <v>92.12</v>
      </c>
      <c r="L41" s="91">
        <v>0.1648</v>
      </c>
      <c r="M41" s="91">
        <v>0.0165</v>
      </c>
      <c r="N41" s="91">
        <v>0.8187</v>
      </c>
      <c r="O41" s="91">
        <v>0.0018</v>
      </c>
      <c r="P41" s="91">
        <v>0.0806</v>
      </c>
      <c r="Q41" s="91">
        <v>0.0348</v>
      </c>
      <c r="R41" s="91">
        <v>0.044</v>
      </c>
      <c r="S41" s="91">
        <v>0.7289</v>
      </c>
      <c r="T41" s="91">
        <v>0.0311</v>
      </c>
      <c r="U41" s="91">
        <v>0.0458</v>
      </c>
      <c r="V41" s="91">
        <v>0.0037</v>
      </c>
      <c r="W41" s="91">
        <v>0.0037</v>
      </c>
      <c r="X41" s="91">
        <v>0.0256</v>
      </c>
      <c r="Y41" s="91">
        <v>0.0037</v>
      </c>
    </row>
    <row r="42">
      <c r="C42" s="90" t="str">
        <f t="array" ref="C42">XLOOKUP(D42,'Agent Index'!B:B,'Agent Index'!C:C)</f>
        <v>Rumaniya kulsum</v>
      </c>
      <c r="D42" s="89" t="s">
        <v>654</v>
      </c>
      <c r="E42" s="89" t="s">
        <v>649</v>
      </c>
      <c r="F42" s="89">
        <v>77.35</v>
      </c>
      <c r="G42" s="89">
        <v>75.97</v>
      </c>
      <c r="H42" s="89">
        <v>73.22</v>
      </c>
      <c r="I42" s="89">
        <v>76.56</v>
      </c>
      <c r="J42" s="89">
        <v>77.48</v>
      </c>
      <c r="K42" s="89">
        <v>84.58</v>
      </c>
      <c r="L42" s="91">
        <v>0.0858</v>
      </c>
      <c r="M42" s="91">
        <v>0.0292</v>
      </c>
      <c r="N42" s="91">
        <v>0.885</v>
      </c>
      <c r="O42" s="91">
        <v>0.0019</v>
      </c>
      <c r="P42" s="91">
        <v>0.0897</v>
      </c>
      <c r="Q42" s="91">
        <v>0.0156</v>
      </c>
      <c r="R42" s="91">
        <v>0.0292</v>
      </c>
      <c r="S42" s="91">
        <v>0.6647</v>
      </c>
      <c r="T42" s="91">
        <v>0.0721</v>
      </c>
      <c r="U42" s="91">
        <v>0.0507</v>
      </c>
      <c r="V42" s="91">
        <v>0.0234</v>
      </c>
      <c r="W42" s="91">
        <v>0.0039</v>
      </c>
      <c r="X42" s="91">
        <v>0.0195</v>
      </c>
      <c r="Y42" s="91">
        <v>0.0039</v>
      </c>
    </row>
    <row r="43">
      <c r="C43" s="90" t="str">
        <f t="array" ref="C43">XLOOKUP(D43,'Agent Index'!B:B,'Agent Index'!C:C)</f>
        <v>Santosh Jeruni Siddi</v>
      </c>
      <c r="D43" s="89" t="s">
        <v>626</v>
      </c>
      <c r="E43" s="89" t="s">
        <v>611</v>
      </c>
      <c r="F43" s="89">
        <v>87.07</v>
      </c>
      <c r="G43" s="89">
        <v>86.86</v>
      </c>
      <c r="H43" s="89">
        <v>84.77</v>
      </c>
      <c r="I43" s="89">
        <v>85.6</v>
      </c>
      <c r="J43" s="89">
        <v>86.88</v>
      </c>
      <c r="K43" s="89">
        <v>91.83</v>
      </c>
      <c r="L43" s="91">
        <v>0.0858</v>
      </c>
      <c r="M43" s="91">
        <v>0.0275</v>
      </c>
      <c r="N43" s="91">
        <v>0.8867</v>
      </c>
      <c r="O43" s="91">
        <v>0.0023</v>
      </c>
      <c r="P43" s="91">
        <v>0.1865</v>
      </c>
      <c r="Q43" s="91">
        <v>0.0206</v>
      </c>
      <c r="R43" s="91">
        <v>0.0549</v>
      </c>
      <c r="S43" s="91">
        <v>0.587</v>
      </c>
      <c r="T43" s="91">
        <v>0.0732</v>
      </c>
      <c r="U43" s="91">
        <v>0.0275</v>
      </c>
      <c r="V43" s="91">
        <v>0.0137</v>
      </c>
      <c r="W43" s="91">
        <v>0.0011</v>
      </c>
      <c r="X43" s="91">
        <v>0.0229</v>
      </c>
      <c r="Y43" s="91">
        <v>0.0011</v>
      </c>
    </row>
    <row r="44">
      <c r="C44" s="90" t="str">
        <f t="array" ref="C44">XLOOKUP(D44,'Agent Index'!B:B,'Agent Index'!C:C)</f>
        <v>Saravanan Nadar</v>
      </c>
      <c r="D44" s="89" t="s">
        <v>556</v>
      </c>
      <c r="E44" s="89" t="s">
        <v>555</v>
      </c>
      <c r="F44" s="89">
        <v>87.64</v>
      </c>
      <c r="G44" s="89">
        <v>88.08</v>
      </c>
      <c r="H44" s="89">
        <v>85.51</v>
      </c>
      <c r="I44" s="89">
        <v>87.99</v>
      </c>
      <c r="J44" s="89">
        <v>86.17</v>
      </c>
      <c r="K44" s="89">
        <v>90.6</v>
      </c>
      <c r="L44" s="91">
        <v>0.1479</v>
      </c>
      <c r="M44" s="91">
        <v>0.0199</v>
      </c>
      <c r="N44" s="91">
        <v>0.8321</v>
      </c>
      <c r="O44" s="91">
        <v>0.0028</v>
      </c>
      <c r="P44" s="91">
        <v>0.0811</v>
      </c>
      <c r="Q44" s="91">
        <v>0.0228</v>
      </c>
      <c r="R44" s="91">
        <v>0.0541</v>
      </c>
      <c r="S44" s="91">
        <v>0.6885</v>
      </c>
      <c r="T44" s="91">
        <v>0.0356</v>
      </c>
      <c r="U44" s="91">
        <v>0.0569</v>
      </c>
      <c r="V44" s="91">
        <v>0.0071</v>
      </c>
      <c r="W44" s="91">
        <v>0.0043</v>
      </c>
      <c r="X44" s="91">
        <v>0.0313</v>
      </c>
      <c r="Y44" s="91">
        <v>0.0028</v>
      </c>
    </row>
    <row r="45">
      <c r="C45" s="90" t="str">
        <f t="array" ref="C45">XLOOKUP(D45,'Agent Index'!B:B,'Agent Index'!C:C)</f>
        <v>Alfiya</v>
      </c>
      <c r="D45" s="89" t="s">
        <v>558</v>
      </c>
      <c r="E45" s="89" t="s">
        <v>555</v>
      </c>
      <c r="F45" s="89">
        <v>87.26</v>
      </c>
      <c r="G45" s="89">
        <v>86.67</v>
      </c>
      <c r="H45" s="89">
        <v>85.45</v>
      </c>
      <c r="I45" s="89">
        <v>86.48</v>
      </c>
      <c r="J45" s="89">
        <v>85.81</v>
      </c>
      <c r="K45" s="89">
        <v>92.09</v>
      </c>
      <c r="L45" s="91">
        <v>0.1173</v>
      </c>
      <c r="M45" s="91">
        <v>0.0403</v>
      </c>
      <c r="N45" s="91">
        <v>0.8424</v>
      </c>
      <c r="O45" s="91">
        <v>0.0053</v>
      </c>
      <c r="P45" s="91">
        <v>0.0718</v>
      </c>
      <c r="Q45" s="91">
        <v>0.0193</v>
      </c>
      <c r="R45" s="91">
        <v>0.0473</v>
      </c>
      <c r="S45" s="91">
        <v>0.627</v>
      </c>
      <c r="T45" s="91">
        <v>0.0963</v>
      </c>
      <c r="U45" s="91">
        <v>0.0438</v>
      </c>
      <c r="V45" s="91">
        <v>0.0263</v>
      </c>
      <c r="W45" s="91">
        <v>0.0035</v>
      </c>
      <c r="X45" s="91">
        <v>0.0333</v>
      </c>
      <c r="Y45" s="91">
        <v>0.0053</v>
      </c>
    </row>
    <row r="46">
      <c r="C46" s="90" t="str">
        <f t="array" ref="C46">XLOOKUP(D46,'Agent Index'!B:B,'Agent Index'!C:C)</f>
        <v>Shaik mohammed nayeem</v>
      </c>
      <c r="D46" s="89" t="s">
        <v>656</v>
      </c>
      <c r="E46" s="89" t="s">
        <v>649</v>
      </c>
      <c r="F46" s="89">
        <v>80.2</v>
      </c>
      <c r="G46" s="89">
        <v>79.88</v>
      </c>
      <c r="H46" s="89">
        <v>77.8</v>
      </c>
      <c r="I46" s="89">
        <v>79.19</v>
      </c>
      <c r="J46" s="89">
        <v>77.47</v>
      </c>
      <c r="K46" s="89">
        <v>86.63</v>
      </c>
      <c r="L46" s="91">
        <v>0.1134</v>
      </c>
      <c r="M46" s="91">
        <v>0.0476</v>
      </c>
      <c r="N46" s="91">
        <v>0.839</v>
      </c>
      <c r="O46" s="91">
        <v>0.0045</v>
      </c>
      <c r="P46" s="91">
        <v>0.1134</v>
      </c>
      <c r="Q46" s="91">
        <v>0.034</v>
      </c>
      <c r="R46" s="91">
        <v>0.0227</v>
      </c>
      <c r="S46" s="91">
        <v>0.7234</v>
      </c>
      <c r="T46" s="91">
        <v>0.0499</v>
      </c>
      <c r="U46" s="91">
        <v>0.0181</v>
      </c>
      <c r="V46" s="91">
        <v>0.0068</v>
      </c>
      <c r="W46" s="91">
        <v>0.0023</v>
      </c>
      <c r="X46" s="91">
        <v>0.0136</v>
      </c>
      <c r="Y46" s="91">
        <v>0.0068</v>
      </c>
    </row>
    <row r="47">
      <c r="C47" s="90" t="str">
        <f t="array" ref="C47">XLOOKUP(D47,'Agent Index'!B:B,'Agent Index'!C:C)</f>
        <v>Shivani Prajapati</v>
      </c>
      <c r="D47" s="89" t="s">
        <v>628</v>
      </c>
      <c r="E47" s="89" t="s">
        <v>611</v>
      </c>
      <c r="F47" s="89">
        <v>87.37</v>
      </c>
      <c r="G47" s="89">
        <v>87.33</v>
      </c>
      <c r="H47" s="89">
        <v>83.98</v>
      </c>
      <c r="I47" s="89">
        <v>86.06</v>
      </c>
      <c r="J47" s="89">
        <v>88.28</v>
      </c>
      <c r="K47" s="89">
        <v>92.01</v>
      </c>
      <c r="L47" s="91">
        <v>0.0724</v>
      </c>
      <c r="M47" s="91">
        <v>0.0127</v>
      </c>
      <c r="N47" s="91">
        <v>0.9149</v>
      </c>
      <c r="O47" s="91">
        <v>0.0013</v>
      </c>
      <c r="P47" s="91">
        <v>0.1194</v>
      </c>
      <c r="Q47" s="91">
        <v>0.0076</v>
      </c>
      <c r="R47" s="91">
        <v>0.0635</v>
      </c>
      <c r="S47" s="91">
        <v>0.6595</v>
      </c>
      <c r="T47" s="91">
        <v>0.0432</v>
      </c>
      <c r="U47" s="91">
        <v>0.0559</v>
      </c>
      <c r="V47" s="91">
        <v>0.0127</v>
      </c>
      <c r="W47" s="91">
        <v>0.0038</v>
      </c>
      <c r="X47" s="91">
        <v>0.0267</v>
      </c>
      <c r="Y47" s="91">
        <v>0.0013</v>
      </c>
    </row>
    <row r="48">
      <c r="C48" s="90" t="str">
        <f t="array" ref="C48">XLOOKUP(D48,'Agent Index'!B:B,'Agent Index'!C:C)</f>
        <v>Smrutiranjan Biswal</v>
      </c>
      <c r="D48" s="89" t="s">
        <v>630</v>
      </c>
      <c r="E48" s="89" t="s">
        <v>611</v>
      </c>
      <c r="F48" s="89">
        <v>89.26</v>
      </c>
      <c r="G48" s="89">
        <v>89.63</v>
      </c>
      <c r="H48" s="89">
        <v>87.25</v>
      </c>
      <c r="I48" s="89">
        <v>89.01</v>
      </c>
      <c r="J48" s="89">
        <v>86.09</v>
      </c>
      <c r="K48" s="89">
        <v>94.05</v>
      </c>
      <c r="L48" s="91">
        <v>0.1297</v>
      </c>
      <c r="M48" s="91">
        <v>0.0144</v>
      </c>
      <c r="N48" s="91">
        <v>0.8559</v>
      </c>
      <c r="O48" s="91">
        <v>0.0036</v>
      </c>
      <c r="P48" s="91">
        <v>0.0919</v>
      </c>
      <c r="Q48" s="91">
        <v>0.0234</v>
      </c>
      <c r="R48" s="91">
        <v>0.0829</v>
      </c>
      <c r="S48" s="91">
        <v>0.6414</v>
      </c>
      <c r="T48" s="91">
        <v>0.0919</v>
      </c>
      <c r="U48" s="91">
        <v>0.0324</v>
      </c>
      <c r="V48" s="91">
        <v>0.009</v>
      </c>
      <c r="W48" s="91">
        <v>0.0</v>
      </c>
      <c r="X48" s="91">
        <v>0.0234</v>
      </c>
      <c r="Y48" s="91">
        <v>0.0</v>
      </c>
    </row>
    <row r="49">
      <c r="C49" s="90" t="str">
        <f t="array" ref="C49">XLOOKUP(D49,'Agent Index'!B:B,'Agent Index'!C:C)</f>
        <v>Sonu Pariyar</v>
      </c>
      <c r="D49" s="89" t="s">
        <v>668</v>
      </c>
      <c r="E49" s="89" t="s">
        <v>17</v>
      </c>
      <c r="F49" s="89">
        <v>84.98</v>
      </c>
      <c r="G49" s="89">
        <v>84.8</v>
      </c>
      <c r="H49" s="89">
        <v>83.81</v>
      </c>
      <c r="I49" s="89">
        <v>84.61</v>
      </c>
      <c r="J49" s="89">
        <v>79.53</v>
      </c>
      <c r="K49" s="89">
        <v>91.07</v>
      </c>
      <c r="L49" s="91">
        <v>0.0653</v>
      </c>
      <c r="M49" s="91">
        <v>0.0429</v>
      </c>
      <c r="N49" s="91">
        <v>0.8918</v>
      </c>
      <c r="O49" s="91">
        <v>0.0</v>
      </c>
      <c r="P49" s="91">
        <v>0.2239</v>
      </c>
      <c r="Q49" s="91">
        <v>0.0112</v>
      </c>
      <c r="R49" s="91">
        <v>0.0466</v>
      </c>
      <c r="S49" s="91">
        <v>0.5485</v>
      </c>
      <c r="T49" s="91">
        <v>0.0616</v>
      </c>
      <c r="U49" s="91">
        <v>0.0354</v>
      </c>
      <c r="V49" s="91">
        <v>0.0299</v>
      </c>
      <c r="W49" s="91">
        <v>0.0056</v>
      </c>
      <c r="X49" s="91">
        <v>0.0261</v>
      </c>
      <c r="Y49" s="91">
        <v>0.0019</v>
      </c>
    </row>
    <row r="50">
      <c r="C50" s="90" t="str">
        <f t="array" ref="C50">XLOOKUP(D50,'Agent Index'!B:B,'Agent Index'!C:C)</f>
        <v>Sooraj Sashidharan</v>
      </c>
      <c r="D50" s="89" t="s">
        <v>579</v>
      </c>
      <c r="E50" s="89" t="s">
        <v>573</v>
      </c>
      <c r="F50" s="89">
        <v>89.94</v>
      </c>
      <c r="G50" s="89">
        <v>89.78</v>
      </c>
      <c r="H50" s="89">
        <v>88.29</v>
      </c>
      <c r="I50" s="89">
        <v>89.74</v>
      </c>
      <c r="J50" s="89">
        <v>88.77</v>
      </c>
      <c r="K50" s="89">
        <v>93.26</v>
      </c>
      <c r="L50" s="91">
        <v>0.1758</v>
      </c>
      <c r="M50" s="91">
        <v>0.0133</v>
      </c>
      <c r="N50" s="91">
        <v>0.8109</v>
      </c>
      <c r="O50" s="91">
        <v>0.0017</v>
      </c>
      <c r="P50" s="91">
        <v>0.0531</v>
      </c>
      <c r="Q50" s="91">
        <v>0.0249</v>
      </c>
      <c r="R50" s="91">
        <v>0.0398</v>
      </c>
      <c r="S50" s="91">
        <v>0.7231</v>
      </c>
      <c r="T50" s="91">
        <v>0.063</v>
      </c>
      <c r="U50" s="91">
        <v>0.0514</v>
      </c>
      <c r="V50" s="91">
        <v>0.0066</v>
      </c>
      <c r="W50" s="91">
        <v>0.0017</v>
      </c>
      <c r="X50" s="91">
        <v>0.0332</v>
      </c>
      <c r="Y50" s="91">
        <v>0.0</v>
      </c>
    </row>
    <row r="51">
      <c r="C51" s="90" t="str">
        <f t="array" ref="C51">XLOOKUP(D51,'Agent Index'!B:B,'Agent Index'!C:C)</f>
        <v>Subhash Chandra Das</v>
      </c>
      <c r="D51" s="89" t="s">
        <v>670</v>
      </c>
      <c r="E51" s="89" t="s">
        <v>17</v>
      </c>
      <c r="F51" s="89">
        <v>84.95</v>
      </c>
      <c r="G51" s="89">
        <v>84.02</v>
      </c>
      <c r="H51" s="89">
        <v>81.69</v>
      </c>
      <c r="I51" s="89">
        <v>84.93</v>
      </c>
      <c r="J51" s="89">
        <v>84.18</v>
      </c>
      <c r="K51" s="89">
        <v>90.62</v>
      </c>
      <c r="L51" s="91">
        <v>0.0829</v>
      </c>
      <c r="M51" s="91">
        <v>0.0558</v>
      </c>
      <c r="N51" s="91">
        <v>0.8613</v>
      </c>
      <c r="O51" s="91">
        <v>0.0</v>
      </c>
      <c r="P51" s="91">
        <v>0.308</v>
      </c>
      <c r="Q51" s="91">
        <v>0.0118</v>
      </c>
      <c r="R51" s="91">
        <v>0.0237</v>
      </c>
      <c r="S51" s="91">
        <v>0.5093</v>
      </c>
      <c r="T51" s="91">
        <v>0.0508</v>
      </c>
      <c r="U51" s="91">
        <v>0.0474</v>
      </c>
      <c r="V51" s="91">
        <v>0.022</v>
      </c>
      <c r="W51" s="91">
        <v>0.0</v>
      </c>
      <c r="X51" s="91">
        <v>0.022</v>
      </c>
      <c r="Y51" s="91">
        <v>0.0017</v>
      </c>
    </row>
    <row r="52">
      <c r="C52" s="90" t="str">
        <f t="array" ref="C52">XLOOKUP(D52,'Agent Index'!B:B,'Agent Index'!C:C)</f>
        <v>Sudhanshu Bhatt</v>
      </c>
      <c r="D52" s="89" t="s">
        <v>632</v>
      </c>
      <c r="E52" s="89" t="s">
        <v>611</v>
      </c>
      <c r="F52" s="89">
        <v>85.98</v>
      </c>
      <c r="G52" s="89">
        <v>87.11</v>
      </c>
      <c r="H52" s="89">
        <v>83.4</v>
      </c>
      <c r="I52" s="89">
        <v>86.32</v>
      </c>
      <c r="J52" s="89">
        <v>82.66</v>
      </c>
      <c r="K52" s="89">
        <v>90.12</v>
      </c>
      <c r="L52" s="91">
        <v>0.1553</v>
      </c>
      <c r="M52" s="91">
        <v>0.0181</v>
      </c>
      <c r="N52" s="91">
        <v>0.8265</v>
      </c>
      <c r="O52" s="91">
        <v>0.0023</v>
      </c>
      <c r="P52" s="91">
        <v>0.0771</v>
      </c>
      <c r="Q52" s="91">
        <v>0.0249</v>
      </c>
      <c r="R52" s="91">
        <v>0.0544</v>
      </c>
      <c r="S52" s="91">
        <v>0.7075</v>
      </c>
      <c r="T52" s="91">
        <v>0.0476</v>
      </c>
      <c r="U52" s="91">
        <v>0.0408</v>
      </c>
      <c r="V52" s="91">
        <v>0.0057</v>
      </c>
      <c r="W52" s="91">
        <v>0.0023</v>
      </c>
      <c r="X52" s="91">
        <v>0.0261</v>
      </c>
      <c r="Y52" s="91">
        <v>0.0023</v>
      </c>
    </row>
    <row r="53">
      <c r="C53" s="90" t="str">
        <f t="array" ref="C53">XLOOKUP(D53,'Agent Index'!B:B,'Agent Index'!C:C)</f>
        <v>Sufiya Annum</v>
      </c>
      <c r="D53" s="89" t="s">
        <v>567</v>
      </c>
      <c r="E53" s="89" t="s">
        <v>562</v>
      </c>
      <c r="F53" s="89">
        <v>89.61</v>
      </c>
      <c r="G53" s="89">
        <v>90.08</v>
      </c>
      <c r="H53" s="89">
        <v>85.34</v>
      </c>
      <c r="I53" s="89">
        <v>89.81</v>
      </c>
      <c r="J53" s="89">
        <v>90.63</v>
      </c>
      <c r="K53" s="89">
        <v>93.33</v>
      </c>
      <c r="L53" s="91">
        <v>0.2454</v>
      </c>
      <c r="M53" s="91">
        <v>0.0093</v>
      </c>
      <c r="N53" s="91">
        <v>0.7454</v>
      </c>
      <c r="O53" s="91">
        <v>0.0</v>
      </c>
      <c r="P53" s="91">
        <v>0.044</v>
      </c>
      <c r="Q53" s="91">
        <v>0.0579</v>
      </c>
      <c r="R53" s="91">
        <v>0.0671</v>
      </c>
      <c r="S53" s="91">
        <v>0.7593</v>
      </c>
      <c r="T53" s="91">
        <v>0.0231</v>
      </c>
      <c r="U53" s="91">
        <v>0.0185</v>
      </c>
      <c r="V53" s="91">
        <v>0.0023</v>
      </c>
      <c r="W53" s="91">
        <v>0.0</v>
      </c>
      <c r="X53" s="91">
        <v>0.0185</v>
      </c>
      <c r="Y53" s="91">
        <v>0.0</v>
      </c>
    </row>
    <row r="54">
      <c r="C54" s="90" t="str">
        <f t="array" ref="C54">XLOOKUP(D54,'Agent Index'!B:B,'Agent Index'!C:C)</f>
        <v>Sunil Kumar K</v>
      </c>
      <c r="D54" s="89" t="s">
        <v>592</v>
      </c>
      <c r="E54" s="89" t="s">
        <v>583</v>
      </c>
      <c r="F54" s="89">
        <v>85.83</v>
      </c>
      <c r="G54" s="89">
        <v>85.83</v>
      </c>
      <c r="H54" s="89">
        <v>85.27</v>
      </c>
      <c r="I54" s="89">
        <v>86.76</v>
      </c>
      <c r="J54" s="89">
        <v>78.42</v>
      </c>
      <c r="K54" s="89">
        <v>91.24</v>
      </c>
      <c r="L54" s="91">
        <v>0.1788</v>
      </c>
      <c r="M54" s="91">
        <v>0.0166</v>
      </c>
      <c r="N54" s="91">
        <v>0.8046</v>
      </c>
      <c r="O54" s="91">
        <v>0.0017</v>
      </c>
      <c r="P54" s="91">
        <v>0.0579</v>
      </c>
      <c r="Q54" s="91">
        <v>0.0215</v>
      </c>
      <c r="R54" s="91">
        <v>0.106</v>
      </c>
      <c r="S54" s="91">
        <v>0.707</v>
      </c>
      <c r="T54" s="91">
        <v>0.043</v>
      </c>
      <c r="U54" s="91">
        <v>0.0182</v>
      </c>
      <c r="V54" s="91">
        <v>0.0</v>
      </c>
      <c r="W54" s="91">
        <v>0.0033</v>
      </c>
      <c r="X54" s="91">
        <v>0.0298</v>
      </c>
      <c r="Y54" s="91">
        <v>0.0017</v>
      </c>
    </row>
    <row r="55">
      <c r="C55" s="90" t="str">
        <f t="array" ref="C55">XLOOKUP(D55,'Agent Index'!B:B,'Agent Index'!C:C)</f>
        <v>Swantana Chakraborty</v>
      </c>
      <c r="D55" s="89" t="s">
        <v>634</v>
      </c>
      <c r="E55" s="89" t="s">
        <v>611</v>
      </c>
      <c r="F55" s="89">
        <v>86.13</v>
      </c>
      <c r="G55" s="89">
        <v>87.55</v>
      </c>
      <c r="H55" s="89">
        <v>83.38</v>
      </c>
      <c r="I55" s="89">
        <v>81.69</v>
      </c>
      <c r="J55" s="89">
        <v>86.1</v>
      </c>
      <c r="K55" s="89">
        <v>91.93</v>
      </c>
      <c r="L55" s="91">
        <v>0.0623</v>
      </c>
      <c r="M55" s="91">
        <v>0.0233</v>
      </c>
      <c r="N55" s="91">
        <v>0.9144</v>
      </c>
      <c r="O55" s="91">
        <v>0.0</v>
      </c>
      <c r="P55" s="91">
        <v>0.0856</v>
      </c>
      <c r="Q55" s="91">
        <v>0.0039</v>
      </c>
      <c r="R55" s="91">
        <v>0.1284</v>
      </c>
      <c r="S55" s="91">
        <v>0.5409</v>
      </c>
      <c r="T55" s="91">
        <v>0.0</v>
      </c>
      <c r="U55" s="91">
        <v>0.0817</v>
      </c>
      <c r="V55" s="91">
        <v>0.0428</v>
      </c>
      <c r="W55" s="91">
        <v>0.0117</v>
      </c>
      <c r="X55" s="91">
        <v>0.0389</v>
      </c>
      <c r="Y55" s="91">
        <v>0.0</v>
      </c>
    </row>
    <row r="56">
      <c r="C56" s="90" t="str">
        <f t="array" ref="C56">XLOOKUP(D56,'Agent Index'!B:B,'Agent Index'!C:C)</f>
        <v>Syed Hafeez Ahmed</v>
      </c>
      <c r="D56" s="89" t="s">
        <v>636</v>
      </c>
      <c r="E56" s="89" t="s">
        <v>611</v>
      </c>
      <c r="F56" s="89">
        <v>86.4</v>
      </c>
      <c r="G56" s="89">
        <v>86.91</v>
      </c>
      <c r="H56" s="89">
        <v>83.09</v>
      </c>
      <c r="I56" s="89">
        <v>85.28</v>
      </c>
      <c r="J56" s="89">
        <v>86.39</v>
      </c>
      <c r="K56" s="89">
        <v>90.99</v>
      </c>
      <c r="L56" s="91">
        <v>0.09</v>
      </c>
      <c r="M56" s="91">
        <v>0.0371</v>
      </c>
      <c r="N56" s="91">
        <v>0.8729</v>
      </c>
      <c r="O56" s="91">
        <v>0.0029</v>
      </c>
      <c r="P56" s="91">
        <v>0.1043</v>
      </c>
      <c r="Q56" s="91">
        <v>0.0086</v>
      </c>
      <c r="R56" s="91">
        <v>0.0314</v>
      </c>
      <c r="S56" s="91">
        <v>0.66</v>
      </c>
      <c r="T56" s="91">
        <v>0.0686</v>
      </c>
      <c r="U56" s="91">
        <v>0.0543</v>
      </c>
      <c r="V56" s="91">
        <v>0.0171</v>
      </c>
      <c r="W56" s="91">
        <v>0.0057</v>
      </c>
      <c r="X56" s="91">
        <v>0.0243</v>
      </c>
      <c r="Y56" s="91">
        <v>0.0014</v>
      </c>
    </row>
    <row r="57">
      <c r="C57" s="90" t="str">
        <f t="array" ref="C57">XLOOKUP(D57,'Agent Index'!B:B,'Agent Index'!C:C)</f>
        <v>Syed Shahbaz</v>
      </c>
      <c r="D57" s="89" t="s">
        <v>607</v>
      </c>
      <c r="E57" s="89" t="s">
        <v>598</v>
      </c>
      <c r="F57" s="89">
        <v>88.97</v>
      </c>
      <c r="G57" s="89">
        <v>89.29</v>
      </c>
      <c r="H57" s="89">
        <v>86.87</v>
      </c>
      <c r="I57" s="89">
        <v>87.55</v>
      </c>
      <c r="J57" s="89">
        <v>89.13</v>
      </c>
      <c r="K57" s="89">
        <v>92.54</v>
      </c>
      <c r="L57" s="91">
        <v>0.1921</v>
      </c>
      <c r="M57" s="91">
        <v>0.0377</v>
      </c>
      <c r="N57" s="91">
        <v>0.7702</v>
      </c>
      <c r="O57" s="91">
        <v>0.0206</v>
      </c>
      <c r="P57" s="91">
        <v>0.0429</v>
      </c>
      <c r="Q57" s="91">
        <v>0.036</v>
      </c>
      <c r="R57" s="91">
        <v>0.0652</v>
      </c>
      <c r="S57" s="91">
        <v>0.6672</v>
      </c>
      <c r="T57" s="91">
        <v>0.0583</v>
      </c>
      <c r="U57" s="91">
        <v>0.024</v>
      </c>
      <c r="V57" s="91">
        <v>0.024</v>
      </c>
      <c r="W57" s="91">
        <v>0.0086</v>
      </c>
      <c r="X57" s="91">
        <v>0.0497</v>
      </c>
      <c r="Y57" s="91">
        <v>0.0051</v>
      </c>
    </row>
    <row r="58">
      <c r="C58" s="90" t="str">
        <f t="array" ref="C58">XLOOKUP(D58,'Agent Index'!B:B,'Agent Index'!C:C)</f>
        <v>Syed Tippu</v>
      </c>
      <c r="D58" s="89" t="s">
        <v>638</v>
      </c>
      <c r="E58" s="89" t="s">
        <v>611</v>
      </c>
      <c r="F58" s="89">
        <v>89.69</v>
      </c>
      <c r="G58" s="89">
        <v>89.25</v>
      </c>
      <c r="H58" s="89">
        <v>87.61</v>
      </c>
      <c r="I58" s="89">
        <v>89.1</v>
      </c>
      <c r="J58" s="89">
        <v>88.17</v>
      </c>
      <c r="K58" s="89">
        <v>94.41</v>
      </c>
      <c r="L58" s="91">
        <v>0.1563</v>
      </c>
      <c r="M58" s="91">
        <v>0.023</v>
      </c>
      <c r="N58" s="91">
        <v>0.8207</v>
      </c>
      <c r="O58" s="91">
        <v>0.0</v>
      </c>
      <c r="P58" s="91">
        <v>0.108</v>
      </c>
      <c r="Q58" s="91">
        <v>0.0207</v>
      </c>
      <c r="R58" s="91">
        <v>0.046</v>
      </c>
      <c r="S58" s="91">
        <v>0.6575</v>
      </c>
      <c r="T58" s="91">
        <v>0.0414</v>
      </c>
      <c r="U58" s="91">
        <v>0.0575</v>
      </c>
      <c r="V58" s="91">
        <v>0.0184</v>
      </c>
      <c r="W58" s="91">
        <v>0.0</v>
      </c>
      <c r="X58" s="91">
        <v>0.0276</v>
      </c>
      <c r="Y58" s="91">
        <v>0.0023</v>
      </c>
    </row>
    <row r="59">
      <c r="C59" s="90" t="str">
        <f t="array" ref="C59">XLOOKUP(D59,'Agent Index'!B:B,'Agent Index'!C:C)</f>
        <v>Syed Zaiduddin</v>
      </c>
      <c r="D59" s="89" t="s">
        <v>640</v>
      </c>
      <c r="E59" s="89" t="s">
        <v>611</v>
      </c>
      <c r="F59" s="89">
        <v>89.4</v>
      </c>
      <c r="G59" s="89">
        <v>88.8</v>
      </c>
      <c r="H59" s="89">
        <v>87.72</v>
      </c>
      <c r="I59" s="89">
        <v>88.4</v>
      </c>
      <c r="J59" s="89">
        <v>88.95</v>
      </c>
      <c r="K59" s="89">
        <v>93.47</v>
      </c>
      <c r="L59" s="91">
        <v>0.1172</v>
      </c>
      <c r="M59" s="91">
        <v>0.0137</v>
      </c>
      <c r="N59" s="91">
        <v>0.8691</v>
      </c>
      <c r="O59" s="91">
        <v>0.0</v>
      </c>
      <c r="P59" s="91">
        <v>0.1191</v>
      </c>
      <c r="Q59" s="91">
        <v>0.0176</v>
      </c>
      <c r="R59" s="91">
        <v>0.0293</v>
      </c>
      <c r="S59" s="91">
        <v>0.6406</v>
      </c>
      <c r="T59" s="91">
        <v>0.0527</v>
      </c>
      <c r="U59" s="91">
        <v>0.0664</v>
      </c>
      <c r="V59" s="91">
        <v>0.0195</v>
      </c>
      <c r="W59" s="91">
        <v>0.002</v>
      </c>
      <c r="X59" s="91">
        <v>0.0234</v>
      </c>
      <c r="Y59" s="91">
        <v>0.0</v>
      </c>
    </row>
    <row r="60">
      <c r="C60" s="90" t="str">
        <f t="array" ref="C60">XLOOKUP(D60,'Agent Index'!B:B,'Agent Index'!C:C)</f>
        <v>Vikram Singh</v>
      </c>
      <c r="D60" s="89" t="s">
        <v>569</v>
      </c>
      <c r="E60" s="89" t="s">
        <v>562</v>
      </c>
      <c r="F60" s="89">
        <v>90.47</v>
      </c>
      <c r="G60" s="89">
        <v>90.86</v>
      </c>
      <c r="H60" s="89">
        <v>87.52</v>
      </c>
      <c r="I60" s="89">
        <v>91.63</v>
      </c>
      <c r="J60" s="89">
        <v>88.48</v>
      </c>
      <c r="K60" s="89">
        <v>93.85</v>
      </c>
      <c r="L60" s="91">
        <v>0.178</v>
      </c>
      <c r="M60" s="91">
        <v>0.0186</v>
      </c>
      <c r="N60" s="91">
        <v>0.8034</v>
      </c>
      <c r="O60" s="91">
        <v>0.0051</v>
      </c>
      <c r="P60" s="91">
        <v>0.0797</v>
      </c>
      <c r="Q60" s="91">
        <v>0.0271</v>
      </c>
      <c r="R60" s="91">
        <v>0.0525</v>
      </c>
      <c r="S60" s="91">
        <v>0.7237</v>
      </c>
      <c r="T60" s="91">
        <v>0.0288</v>
      </c>
      <c r="U60" s="91">
        <v>0.0458</v>
      </c>
      <c r="V60" s="91">
        <v>0.0034</v>
      </c>
      <c r="W60" s="91">
        <v>0.0034</v>
      </c>
      <c r="X60" s="91">
        <v>0.0203</v>
      </c>
      <c r="Y60" s="91">
        <v>0.0</v>
      </c>
    </row>
    <row r="61">
      <c r="C61" s="90" t="str">
        <f t="array" ref="C61">XLOOKUP(D61,'Agent Index'!B:B,'Agent Index'!C:C)</f>
        <v>Vivek Kumar</v>
      </c>
      <c r="D61" s="89" t="s">
        <v>594</v>
      </c>
      <c r="E61" s="89" t="s">
        <v>583</v>
      </c>
      <c r="F61" s="89">
        <v>90.15</v>
      </c>
      <c r="G61" s="89">
        <v>90.1</v>
      </c>
      <c r="H61" s="89">
        <v>86.85</v>
      </c>
      <c r="I61" s="89">
        <v>90.4</v>
      </c>
      <c r="J61" s="89">
        <v>90.83</v>
      </c>
      <c r="K61" s="89">
        <v>93.54</v>
      </c>
      <c r="L61" s="91">
        <v>0.1341</v>
      </c>
      <c r="M61" s="91">
        <v>0.0171</v>
      </c>
      <c r="N61" s="91">
        <v>0.8488</v>
      </c>
      <c r="O61" s="91">
        <v>0.0</v>
      </c>
      <c r="P61" s="91">
        <v>0.1</v>
      </c>
      <c r="Q61" s="91">
        <v>0.0122</v>
      </c>
      <c r="R61" s="91">
        <v>0.0512</v>
      </c>
      <c r="S61" s="91">
        <v>0.7659</v>
      </c>
      <c r="T61" s="91">
        <v>0.0659</v>
      </c>
      <c r="U61" s="91">
        <v>0.0</v>
      </c>
      <c r="V61" s="91">
        <v>0.0</v>
      </c>
      <c r="W61" s="91">
        <v>0.0</v>
      </c>
      <c r="X61" s="91">
        <v>0.0049</v>
      </c>
      <c r="Y61" s="91">
        <v>0.0</v>
      </c>
    </row>
    <row r="62">
      <c r="C62" s="90" t="str">
        <f t="array" ref="C62">XLOOKUP(D62,'Agent Index'!B:B,'Agent Index'!C:C)</f>
        <v>#N/A</v>
      </c>
      <c r="D62" s="89" t="s">
        <v>771</v>
      </c>
      <c r="F62" s="89">
        <v>87.12</v>
      </c>
      <c r="G62" s="89">
        <v>87.35</v>
      </c>
      <c r="H62" s="89">
        <v>84.79</v>
      </c>
      <c r="I62" s="89">
        <v>86.71</v>
      </c>
      <c r="J62" s="89">
        <v>85.33</v>
      </c>
      <c r="K62" s="89">
        <v>91.82</v>
      </c>
      <c r="L62" s="91">
        <v>0.1302</v>
      </c>
      <c r="M62" s="91">
        <v>0.0292</v>
      </c>
      <c r="N62" s="91">
        <v>0.8406</v>
      </c>
      <c r="O62" s="91">
        <v>0.0038</v>
      </c>
      <c r="P62" s="91">
        <v>0.1061</v>
      </c>
      <c r="Q62" s="91">
        <v>0.0233</v>
      </c>
      <c r="R62" s="91">
        <v>0.0625</v>
      </c>
      <c r="S62" s="91">
        <v>0.6447</v>
      </c>
      <c r="T62" s="91">
        <v>0.0546</v>
      </c>
      <c r="U62" s="91">
        <v>0.0435</v>
      </c>
      <c r="V62" s="91">
        <v>0.0136</v>
      </c>
      <c r="W62" s="91">
        <v>0.004</v>
      </c>
      <c r="X62" s="91">
        <v>0.0282</v>
      </c>
      <c r="Y62" s="91">
        <v>0.0026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9.38"/>
    <col customWidth="1" min="3" max="3" width="6.0"/>
    <col customWidth="1" min="4" max="4" width="15.5"/>
    <col customWidth="1" min="5" max="5" width="7.25"/>
    <col customWidth="1" min="6" max="7" width="12.13"/>
    <col customWidth="1" min="8" max="8" width="15.75"/>
    <col customWidth="1" min="9" max="9" width="24.38"/>
    <col customWidth="1" min="10" max="10" width="8.5"/>
    <col customWidth="1" min="11" max="11" width="13.63"/>
    <col customWidth="1" min="12" max="12" width="11.13"/>
    <col customWidth="1" min="13" max="13" width="9.88"/>
    <col customWidth="1" min="14" max="14" width="16.75"/>
    <col customWidth="1" min="15" max="15" width="24.0"/>
    <col customWidth="1" min="16" max="16" width="19.5"/>
    <col customWidth="1" min="17" max="17" width="25.88"/>
    <col customWidth="1" min="18" max="18" width="9.88"/>
  </cols>
  <sheetData>
    <row r="1">
      <c r="A1" s="92" t="s">
        <v>1</v>
      </c>
      <c r="B1" s="93" t="s">
        <v>772</v>
      </c>
      <c r="C1" s="93" t="s">
        <v>677</v>
      </c>
      <c r="D1" s="93" t="s">
        <v>36</v>
      </c>
      <c r="E1" s="54" t="s">
        <v>37</v>
      </c>
      <c r="F1" s="54" t="s">
        <v>38</v>
      </c>
      <c r="G1" s="54" t="s">
        <v>39</v>
      </c>
      <c r="H1" s="54" t="s">
        <v>678</v>
      </c>
      <c r="I1" s="54" t="s">
        <v>679</v>
      </c>
      <c r="J1" s="54" t="s">
        <v>42</v>
      </c>
      <c r="K1" s="54" t="s">
        <v>3</v>
      </c>
      <c r="L1" s="54" t="s">
        <v>43</v>
      </c>
      <c r="M1" s="57" t="s">
        <v>53</v>
      </c>
      <c r="O1" s="92" t="s">
        <v>26</v>
      </c>
      <c r="P1" s="92" t="s">
        <v>25</v>
      </c>
      <c r="Q1" s="92" t="s">
        <v>7</v>
      </c>
      <c r="R1" s="92" t="s">
        <v>6</v>
      </c>
      <c r="S1" s="57" t="s">
        <v>53</v>
      </c>
      <c r="T1" s="57" t="s">
        <v>53</v>
      </c>
      <c r="U1" s="57" t="s">
        <v>53</v>
      </c>
      <c r="V1" s="57" t="s">
        <v>53</v>
      </c>
      <c r="W1" s="58"/>
    </row>
    <row r="2">
      <c r="A2" s="94" t="s">
        <v>54</v>
      </c>
      <c r="B2" s="95" t="s">
        <v>773</v>
      </c>
      <c r="C2" s="95" t="s">
        <v>774</v>
      </c>
      <c r="D2" s="96" t="s">
        <v>775</v>
      </c>
      <c r="E2" s="95">
        <v>27.0</v>
      </c>
      <c r="F2" s="95">
        <v>8439.0</v>
      </c>
      <c r="G2" s="95">
        <v>4786.0</v>
      </c>
      <c r="H2" s="97">
        <v>0.17105324074074074</v>
      </c>
      <c r="I2" s="79">
        <v>33.0</v>
      </c>
      <c r="J2" s="81">
        <f t="shared" ref="J2:J13" si="2">I2/E2</f>
        <v>1.222222222</v>
      </c>
      <c r="K2" s="98">
        <v>87.92</v>
      </c>
      <c r="L2" s="61" t="str">
        <f t="shared" ref="L2:L13" si="3">IF(K2&lt;80,"L80",IF(K2&lt;=85,"81-85",IF(K2&lt;=90,"85-90",IF(K2&lt;=95,"91-95","G95%"))))</f>
        <v>85-90</v>
      </c>
      <c r="M2" s="15">
        <f>CORREL(K2:K13,J2:J13)</f>
        <v>0.3479486289</v>
      </c>
      <c r="O2" s="99">
        <v>86.9462321</v>
      </c>
      <c r="P2" s="99">
        <v>85.72923488</v>
      </c>
      <c r="Q2" s="99">
        <v>91.13684625</v>
      </c>
      <c r="R2" s="99">
        <v>87.51246552</v>
      </c>
      <c r="S2" s="58">
        <f t="shared" ref="S2:V2" si="1">CORREL(O2:O13,$J$2:$J$13)</f>
        <v>0.3369122475</v>
      </c>
      <c r="T2" s="58">
        <f t="shared" si="1"/>
        <v>0.2190189203</v>
      </c>
      <c r="U2" s="58">
        <f t="shared" si="1"/>
        <v>0.4017604904</v>
      </c>
      <c r="V2" s="58">
        <f t="shared" si="1"/>
        <v>0.3075340517</v>
      </c>
      <c r="W2" s="58"/>
    </row>
    <row r="3">
      <c r="A3" s="94" t="s">
        <v>54</v>
      </c>
      <c r="B3" s="95" t="s">
        <v>773</v>
      </c>
      <c r="C3" s="95" t="s">
        <v>776</v>
      </c>
      <c r="D3" s="96" t="s">
        <v>777</v>
      </c>
      <c r="E3" s="95">
        <v>24.0</v>
      </c>
      <c r="F3" s="95">
        <v>5572.0</v>
      </c>
      <c r="G3" s="95">
        <v>3895.0</v>
      </c>
      <c r="H3" s="97">
        <v>0.1802199074074074</v>
      </c>
      <c r="I3" s="79">
        <v>31.0</v>
      </c>
      <c r="J3" s="81">
        <f t="shared" si="2"/>
        <v>1.291666667</v>
      </c>
      <c r="K3" s="98">
        <v>89.2</v>
      </c>
      <c r="L3" s="61" t="str">
        <f t="shared" si="3"/>
        <v>85-90</v>
      </c>
      <c r="O3" s="99">
        <v>88.58345841</v>
      </c>
      <c r="P3" s="99">
        <v>87.2851113</v>
      </c>
      <c r="Q3" s="99">
        <v>90.78681508</v>
      </c>
      <c r="R3" s="99">
        <v>89.77935382</v>
      </c>
    </row>
    <row r="4">
      <c r="A4" s="94" t="s">
        <v>54</v>
      </c>
      <c r="B4" s="95" t="s">
        <v>773</v>
      </c>
      <c r="C4" s="95" t="s">
        <v>778</v>
      </c>
      <c r="D4" s="96" t="s">
        <v>779</v>
      </c>
      <c r="E4" s="95">
        <v>27.0</v>
      </c>
      <c r="F4" s="95">
        <v>6846.0</v>
      </c>
      <c r="G4" s="95">
        <v>4179.0</v>
      </c>
      <c r="H4" s="97">
        <v>0.19644675925925925</v>
      </c>
      <c r="I4" s="100">
        <v>51.0</v>
      </c>
      <c r="J4" s="81">
        <f t="shared" si="2"/>
        <v>1.888888889</v>
      </c>
      <c r="K4" s="98">
        <v>87.29</v>
      </c>
      <c r="L4" s="61" t="str">
        <f t="shared" si="3"/>
        <v>85-90</v>
      </c>
      <c r="O4" s="99">
        <v>86.1235512</v>
      </c>
      <c r="P4" s="99">
        <v>83.97912827</v>
      </c>
      <c r="Q4" s="99">
        <v>90.84553992</v>
      </c>
      <c r="R4" s="99">
        <v>87.55039946</v>
      </c>
    </row>
    <row r="5">
      <c r="A5" s="94" t="s">
        <v>54</v>
      </c>
      <c r="B5" s="95" t="s">
        <v>773</v>
      </c>
      <c r="C5" s="95" t="s">
        <v>780</v>
      </c>
      <c r="D5" s="96" t="s">
        <v>781</v>
      </c>
      <c r="E5" s="95">
        <v>25.0</v>
      </c>
      <c r="F5" s="95">
        <v>7141.0</v>
      </c>
      <c r="G5" s="95">
        <v>5176.0</v>
      </c>
      <c r="H5" s="97">
        <v>0.16962962962962963</v>
      </c>
      <c r="I5" s="79">
        <v>36.0</v>
      </c>
      <c r="J5" s="81">
        <f t="shared" si="2"/>
        <v>1.44</v>
      </c>
      <c r="K5" s="98">
        <v>87.24</v>
      </c>
      <c r="L5" s="61" t="str">
        <f t="shared" si="3"/>
        <v>85-90</v>
      </c>
      <c r="O5" s="99">
        <v>85.68501193</v>
      </c>
      <c r="P5" s="99">
        <v>85.98571242</v>
      </c>
      <c r="Q5" s="99">
        <v>90.47527755</v>
      </c>
      <c r="R5" s="99">
        <v>86.63677379</v>
      </c>
    </row>
    <row r="6">
      <c r="A6" s="94" t="s">
        <v>54</v>
      </c>
      <c r="B6" s="95" t="s">
        <v>773</v>
      </c>
      <c r="C6" s="95" t="s">
        <v>782</v>
      </c>
      <c r="D6" s="96" t="s">
        <v>783</v>
      </c>
      <c r="E6" s="95">
        <v>26.0</v>
      </c>
      <c r="F6" s="95">
        <v>6233.0</v>
      </c>
      <c r="G6" s="95">
        <v>4398.0</v>
      </c>
      <c r="H6" s="97">
        <v>0.1807175925925926</v>
      </c>
      <c r="I6" s="100">
        <v>26.0</v>
      </c>
      <c r="J6" s="81">
        <f t="shared" si="2"/>
        <v>1</v>
      </c>
      <c r="K6" s="98">
        <v>88.63</v>
      </c>
      <c r="L6" s="61" t="str">
        <f t="shared" si="3"/>
        <v>85-90</v>
      </c>
      <c r="O6" s="99">
        <v>87.4530074</v>
      </c>
      <c r="P6" s="99">
        <v>84.47627652</v>
      </c>
      <c r="Q6" s="99">
        <v>92.39197011</v>
      </c>
      <c r="R6" s="99">
        <v>89.27959525</v>
      </c>
    </row>
    <row r="7">
      <c r="A7" s="94" t="s">
        <v>54</v>
      </c>
      <c r="B7" s="95" t="s">
        <v>773</v>
      </c>
      <c r="C7" s="95" t="s">
        <v>784</v>
      </c>
      <c r="D7" s="96" t="s">
        <v>785</v>
      </c>
      <c r="E7" s="95">
        <v>27.0</v>
      </c>
      <c r="F7" s="95">
        <v>6015.0</v>
      </c>
      <c r="G7" s="95">
        <v>4523.0</v>
      </c>
      <c r="H7" s="97">
        <v>0.14780092592592592</v>
      </c>
      <c r="I7" s="79">
        <v>38.0</v>
      </c>
      <c r="J7" s="81">
        <f t="shared" si="2"/>
        <v>1.407407407</v>
      </c>
      <c r="K7" s="98">
        <v>88.75</v>
      </c>
      <c r="L7" s="61" t="str">
        <f t="shared" si="3"/>
        <v>85-90</v>
      </c>
      <c r="O7" s="99">
        <v>88.43984396</v>
      </c>
      <c r="P7" s="99">
        <v>83.69106783</v>
      </c>
      <c r="Q7" s="99">
        <v>91.9167079</v>
      </c>
      <c r="R7" s="99">
        <v>89.84053472</v>
      </c>
    </row>
    <row r="8">
      <c r="A8" s="94" t="s">
        <v>54</v>
      </c>
      <c r="B8" s="95" t="s">
        <v>773</v>
      </c>
      <c r="C8" s="95" t="s">
        <v>786</v>
      </c>
      <c r="D8" s="96" t="s">
        <v>787</v>
      </c>
      <c r="E8" s="95">
        <v>21.0</v>
      </c>
      <c r="F8" s="95">
        <v>4361.0</v>
      </c>
      <c r="G8" s="95">
        <v>3150.0</v>
      </c>
      <c r="H8" s="97">
        <v>0.19069444444444444</v>
      </c>
      <c r="I8" s="95">
        <v>44.0</v>
      </c>
      <c r="J8" s="81">
        <f t="shared" si="2"/>
        <v>2.095238095</v>
      </c>
      <c r="K8" s="98">
        <v>90.96</v>
      </c>
      <c r="L8" s="61" t="str">
        <f t="shared" si="3"/>
        <v>91-95</v>
      </c>
      <c r="O8" s="99">
        <v>89.87378199</v>
      </c>
      <c r="P8" s="99">
        <v>87.63519514</v>
      </c>
      <c r="Q8" s="99">
        <v>93.55141293</v>
      </c>
      <c r="R8" s="99">
        <v>91.95350005</v>
      </c>
    </row>
    <row r="9">
      <c r="A9" s="94" t="s">
        <v>54</v>
      </c>
      <c r="B9" s="95" t="s">
        <v>773</v>
      </c>
      <c r="C9" s="95" t="s">
        <v>788</v>
      </c>
      <c r="D9" s="96" t="s">
        <v>789</v>
      </c>
      <c r="E9" s="95">
        <v>27.0</v>
      </c>
      <c r="F9" s="95">
        <v>4737.0</v>
      </c>
      <c r="G9" s="95">
        <v>3580.0</v>
      </c>
      <c r="H9" s="97">
        <v>0.18010416666666668</v>
      </c>
      <c r="I9" s="82">
        <v>50.0</v>
      </c>
      <c r="J9" s="81">
        <f t="shared" si="2"/>
        <v>1.851851852</v>
      </c>
      <c r="K9" s="98">
        <v>90.05</v>
      </c>
      <c r="L9" s="61" t="str">
        <f t="shared" si="3"/>
        <v>91-95</v>
      </c>
      <c r="O9" s="99">
        <v>89.20578015</v>
      </c>
      <c r="P9" s="99">
        <v>88.01196635</v>
      </c>
      <c r="Q9" s="99">
        <v>92.71727601</v>
      </c>
      <c r="R9" s="99">
        <v>89.96084235</v>
      </c>
    </row>
    <row r="10">
      <c r="A10" s="94" t="s">
        <v>54</v>
      </c>
      <c r="B10" s="95" t="s">
        <v>773</v>
      </c>
      <c r="C10" s="95" t="s">
        <v>790</v>
      </c>
      <c r="D10" s="96" t="s">
        <v>791</v>
      </c>
      <c r="E10" s="95">
        <v>27.0</v>
      </c>
      <c r="F10" s="95">
        <v>5680.0</v>
      </c>
      <c r="G10" s="95">
        <v>4153.0</v>
      </c>
      <c r="H10" s="97">
        <v>0.13675925925925925</v>
      </c>
      <c r="I10" s="95">
        <v>29.0</v>
      </c>
      <c r="J10" s="81">
        <f t="shared" si="2"/>
        <v>1.074074074</v>
      </c>
      <c r="K10" s="98">
        <v>89.61</v>
      </c>
      <c r="L10" s="61" t="str">
        <f t="shared" si="3"/>
        <v>85-90</v>
      </c>
      <c r="O10" s="99">
        <v>88.72771306</v>
      </c>
      <c r="P10" s="99">
        <v>87.42666912</v>
      </c>
      <c r="Q10" s="99">
        <v>92.27955179</v>
      </c>
      <c r="R10" s="99">
        <v>89.57560615</v>
      </c>
    </row>
    <row r="11">
      <c r="A11" s="94" t="s">
        <v>54</v>
      </c>
      <c r="B11" s="95" t="s">
        <v>773</v>
      </c>
      <c r="C11" s="95" t="s">
        <v>792</v>
      </c>
      <c r="D11" s="96" t="s">
        <v>793</v>
      </c>
      <c r="E11" s="95">
        <v>4.0</v>
      </c>
      <c r="F11" s="95">
        <v>982.0</v>
      </c>
      <c r="G11" s="95">
        <v>587.0</v>
      </c>
      <c r="H11" s="97">
        <v>0.08802083333333334</v>
      </c>
      <c r="I11" s="95">
        <v>7.0</v>
      </c>
      <c r="J11" s="81">
        <f t="shared" si="2"/>
        <v>1.75</v>
      </c>
      <c r="K11" s="98">
        <v>88.87</v>
      </c>
      <c r="L11" s="61" t="str">
        <f t="shared" si="3"/>
        <v>85-90</v>
      </c>
      <c r="O11" s="99">
        <v>89.12619048</v>
      </c>
      <c r="P11" s="99">
        <v>84.6547619</v>
      </c>
      <c r="Q11" s="99">
        <v>93.50634921</v>
      </c>
      <c r="R11" s="99">
        <v>88.19047619</v>
      </c>
    </row>
    <row r="12">
      <c r="A12" s="94" t="s">
        <v>54</v>
      </c>
      <c r="B12" s="95" t="s">
        <v>773</v>
      </c>
      <c r="C12" s="95" t="s">
        <v>794</v>
      </c>
      <c r="D12" s="96" t="s">
        <v>795</v>
      </c>
      <c r="E12" s="95">
        <v>27.0</v>
      </c>
      <c r="F12" s="95">
        <v>6700.0</v>
      </c>
      <c r="G12" s="95">
        <v>4598.0</v>
      </c>
      <c r="H12" s="97">
        <v>0.15486111111111112</v>
      </c>
      <c r="I12" s="95">
        <v>39.0</v>
      </c>
      <c r="J12" s="81">
        <f t="shared" si="2"/>
        <v>1.444444444</v>
      </c>
      <c r="K12" s="98">
        <v>88.73</v>
      </c>
      <c r="L12" s="61" t="str">
        <f t="shared" si="3"/>
        <v>85-90</v>
      </c>
      <c r="O12" s="99">
        <v>88.15250816</v>
      </c>
      <c r="P12" s="99">
        <v>83.59153376</v>
      </c>
      <c r="Q12" s="99">
        <v>92.51233141</v>
      </c>
      <c r="R12" s="99">
        <v>89.5370572</v>
      </c>
    </row>
    <row r="13">
      <c r="A13" s="94" t="s">
        <v>54</v>
      </c>
      <c r="B13" s="95" t="s">
        <v>773</v>
      </c>
      <c r="C13" s="95" t="s">
        <v>796</v>
      </c>
      <c r="D13" s="96" t="s">
        <v>797</v>
      </c>
      <c r="E13" s="95">
        <v>16.0</v>
      </c>
      <c r="F13" s="95">
        <v>5694.0</v>
      </c>
      <c r="G13" s="95">
        <v>3863.0</v>
      </c>
      <c r="H13" s="97">
        <v>0.14824074074074073</v>
      </c>
      <c r="I13" s="82">
        <v>20.0</v>
      </c>
      <c r="J13" s="81">
        <f t="shared" si="2"/>
        <v>1.25</v>
      </c>
      <c r="K13" s="98">
        <v>85.17</v>
      </c>
      <c r="L13" s="61" t="str">
        <f t="shared" si="3"/>
        <v>85-90</v>
      </c>
      <c r="O13" s="99">
        <v>83.24654169</v>
      </c>
      <c r="P13" s="99">
        <v>82.77213203</v>
      </c>
      <c r="Q13" s="99">
        <v>89.44341033</v>
      </c>
      <c r="R13" s="99">
        <v>84.88346551</v>
      </c>
    </row>
    <row r="14">
      <c r="A14" s="53"/>
    </row>
    <row r="15">
      <c r="A15" s="53"/>
    </row>
    <row r="16">
      <c r="A16" s="53"/>
    </row>
    <row r="17">
      <c r="A17" s="53"/>
    </row>
    <row r="18">
      <c r="A18" s="53"/>
    </row>
    <row r="19">
      <c r="A19" s="53"/>
    </row>
    <row r="20">
      <c r="A20" s="53"/>
    </row>
    <row r="21">
      <c r="A21" s="53"/>
    </row>
    <row r="22">
      <c r="A22" s="53"/>
    </row>
    <row r="23">
      <c r="A23" s="53"/>
    </row>
    <row r="24">
      <c r="A24" s="53"/>
    </row>
    <row r="25">
      <c r="A25" s="53"/>
    </row>
    <row r="26">
      <c r="A26" s="53"/>
    </row>
    <row r="27">
      <c r="A27" s="53"/>
    </row>
    <row r="28">
      <c r="A28" s="53"/>
    </row>
    <row r="29">
      <c r="A29" s="53"/>
    </row>
    <row r="30">
      <c r="A30" s="53"/>
    </row>
    <row r="31">
      <c r="A31" s="53"/>
    </row>
    <row r="32">
      <c r="A32" s="53"/>
    </row>
    <row r="33">
      <c r="A33" s="53"/>
    </row>
    <row r="34">
      <c r="A34" s="53"/>
    </row>
    <row r="35">
      <c r="A35" s="53"/>
    </row>
    <row r="36">
      <c r="A36" s="53"/>
    </row>
    <row r="37">
      <c r="A37" s="53"/>
    </row>
    <row r="38">
      <c r="A38" s="53"/>
    </row>
    <row r="39">
      <c r="A39" s="53"/>
    </row>
    <row r="40">
      <c r="A40" s="53"/>
    </row>
    <row r="41">
      <c r="A41" s="53"/>
    </row>
    <row r="42">
      <c r="A42" s="53"/>
    </row>
    <row r="43">
      <c r="A43" s="53"/>
    </row>
    <row r="44">
      <c r="A44" s="53"/>
    </row>
    <row r="45">
      <c r="A45" s="53"/>
    </row>
    <row r="46">
      <c r="A46" s="53"/>
    </row>
    <row r="47">
      <c r="A47" s="53"/>
    </row>
    <row r="48">
      <c r="A48" s="53"/>
    </row>
    <row r="49">
      <c r="A49" s="53"/>
    </row>
    <row r="50">
      <c r="A50" s="53"/>
    </row>
    <row r="51">
      <c r="A51" s="53"/>
    </row>
    <row r="52">
      <c r="A52" s="53"/>
    </row>
    <row r="53">
      <c r="A53" s="53"/>
    </row>
    <row r="54">
      <c r="A54" s="53"/>
    </row>
    <row r="55">
      <c r="A55" s="53"/>
    </row>
    <row r="56">
      <c r="A56" s="53"/>
    </row>
    <row r="57">
      <c r="A57" s="53"/>
    </row>
    <row r="58">
      <c r="A58" s="53"/>
    </row>
    <row r="59">
      <c r="A59" s="53"/>
    </row>
    <row r="60">
      <c r="A60" s="53"/>
    </row>
    <row r="61">
      <c r="A61" s="53"/>
    </row>
    <row r="62">
      <c r="A62" s="53"/>
    </row>
    <row r="63">
      <c r="A63" s="53"/>
    </row>
    <row r="64">
      <c r="A64" s="53"/>
    </row>
    <row r="65">
      <c r="A65" s="53"/>
    </row>
    <row r="66">
      <c r="A66" s="53"/>
    </row>
    <row r="67">
      <c r="A67" s="53"/>
    </row>
    <row r="68">
      <c r="A68" s="53"/>
    </row>
    <row r="69">
      <c r="A69" s="53"/>
    </row>
    <row r="70">
      <c r="A70" s="53"/>
    </row>
    <row r="71">
      <c r="A71" s="53"/>
    </row>
    <row r="72">
      <c r="A72" s="53"/>
    </row>
    <row r="73">
      <c r="A73" s="53"/>
    </row>
    <row r="74">
      <c r="A74" s="53"/>
    </row>
    <row r="75">
      <c r="A75" s="53"/>
    </row>
    <row r="76">
      <c r="A76" s="53"/>
    </row>
    <row r="77">
      <c r="A77" s="53"/>
    </row>
    <row r="78">
      <c r="A78" s="53"/>
    </row>
    <row r="79">
      <c r="A79" s="53"/>
    </row>
    <row r="80">
      <c r="A80" s="53"/>
    </row>
    <row r="81">
      <c r="A81" s="53"/>
    </row>
    <row r="82">
      <c r="A82" s="53"/>
    </row>
    <row r="83">
      <c r="A83" s="53"/>
    </row>
    <row r="84">
      <c r="A84" s="53"/>
    </row>
    <row r="85">
      <c r="A85" s="53"/>
    </row>
    <row r="86">
      <c r="A86" s="53"/>
    </row>
    <row r="87">
      <c r="A87" s="53"/>
    </row>
    <row r="88">
      <c r="A88" s="53"/>
    </row>
    <row r="89">
      <c r="A89" s="53"/>
    </row>
    <row r="90">
      <c r="A90" s="53"/>
    </row>
    <row r="91">
      <c r="A91" s="53"/>
    </row>
    <row r="92">
      <c r="A92" s="53"/>
    </row>
    <row r="93">
      <c r="A93" s="53"/>
    </row>
    <row r="94">
      <c r="A94" s="53"/>
    </row>
    <row r="95">
      <c r="A95" s="53"/>
    </row>
    <row r="96">
      <c r="A96" s="53"/>
    </row>
    <row r="97">
      <c r="A97" s="53"/>
    </row>
    <row r="98">
      <c r="A98" s="53"/>
    </row>
    <row r="99">
      <c r="A99" s="53"/>
    </row>
    <row r="100">
      <c r="A100" s="53"/>
    </row>
    <row r="101">
      <c r="A101" s="53"/>
    </row>
    <row r="102">
      <c r="A102" s="53"/>
    </row>
    <row r="103">
      <c r="A103" s="53"/>
    </row>
    <row r="104">
      <c r="A104" s="53"/>
    </row>
    <row r="105">
      <c r="A105" s="53"/>
    </row>
    <row r="106">
      <c r="A106" s="53"/>
    </row>
    <row r="107">
      <c r="A107" s="53"/>
    </row>
    <row r="108">
      <c r="A108" s="53"/>
    </row>
    <row r="109">
      <c r="A109" s="53"/>
    </row>
    <row r="110">
      <c r="A110" s="53"/>
    </row>
    <row r="111">
      <c r="A111" s="53"/>
    </row>
    <row r="112">
      <c r="A112" s="53"/>
    </row>
    <row r="113">
      <c r="A113" s="53"/>
    </row>
    <row r="114">
      <c r="A114" s="53"/>
    </row>
    <row r="115">
      <c r="A115" s="53"/>
    </row>
    <row r="116">
      <c r="A116" s="53"/>
    </row>
    <row r="117">
      <c r="A117" s="53"/>
    </row>
    <row r="118">
      <c r="A118" s="53"/>
    </row>
    <row r="119">
      <c r="A119" s="53"/>
    </row>
    <row r="120">
      <c r="A120" s="53"/>
    </row>
    <row r="121">
      <c r="A121" s="53"/>
    </row>
    <row r="122">
      <c r="A122" s="53"/>
    </row>
    <row r="123">
      <c r="A123" s="53"/>
    </row>
    <row r="124">
      <c r="A124" s="53"/>
    </row>
    <row r="125">
      <c r="A125" s="53"/>
    </row>
    <row r="126">
      <c r="A126" s="53"/>
    </row>
    <row r="127">
      <c r="A127" s="53"/>
    </row>
    <row r="128">
      <c r="A128" s="53"/>
    </row>
    <row r="129">
      <c r="A129" s="53"/>
    </row>
    <row r="130">
      <c r="A130" s="53"/>
    </row>
    <row r="131">
      <c r="A131" s="53"/>
    </row>
    <row r="132">
      <c r="A132" s="53"/>
    </row>
    <row r="133">
      <c r="A133" s="53"/>
    </row>
    <row r="134">
      <c r="A134" s="53"/>
    </row>
    <row r="135">
      <c r="A135" s="53"/>
    </row>
    <row r="136">
      <c r="A136" s="53"/>
    </row>
    <row r="137">
      <c r="A137" s="53"/>
    </row>
    <row r="138">
      <c r="A138" s="53"/>
    </row>
    <row r="139">
      <c r="A139" s="53"/>
    </row>
    <row r="140">
      <c r="A140" s="53"/>
    </row>
    <row r="141">
      <c r="A141" s="53"/>
    </row>
    <row r="142">
      <c r="A142" s="53"/>
    </row>
    <row r="143">
      <c r="A143" s="53"/>
    </row>
    <row r="144">
      <c r="A144" s="53"/>
    </row>
    <row r="145">
      <c r="A145" s="53"/>
    </row>
    <row r="146">
      <c r="A146" s="53"/>
    </row>
    <row r="147">
      <c r="A147" s="53"/>
    </row>
    <row r="148">
      <c r="A148" s="53"/>
    </row>
    <row r="149">
      <c r="A149" s="53"/>
    </row>
    <row r="150">
      <c r="A150" s="53"/>
    </row>
    <row r="151">
      <c r="A151" s="53"/>
    </row>
    <row r="152">
      <c r="A152" s="53"/>
    </row>
    <row r="153">
      <c r="A153" s="53"/>
    </row>
    <row r="154">
      <c r="A154" s="53"/>
    </row>
    <row r="155">
      <c r="A155" s="53"/>
    </row>
    <row r="156">
      <c r="A156" s="53"/>
    </row>
    <row r="157">
      <c r="A157" s="53"/>
    </row>
    <row r="158">
      <c r="A158" s="53"/>
    </row>
    <row r="159">
      <c r="A159" s="53"/>
    </row>
    <row r="160">
      <c r="A160" s="53"/>
    </row>
    <row r="161">
      <c r="A161" s="53"/>
    </row>
    <row r="162">
      <c r="A162" s="53"/>
    </row>
    <row r="163">
      <c r="A163" s="53"/>
    </row>
    <row r="164">
      <c r="A164" s="53"/>
    </row>
    <row r="165">
      <c r="A165" s="53"/>
    </row>
    <row r="166">
      <c r="A166" s="53"/>
    </row>
    <row r="167">
      <c r="A167" s="53"/>
    </row>
    <row r="168">
      <c r="A168" s="53"/>
    </row>
    <row r="169">
      <c r="A169" s="53"/>
    </row>
    <row r="170">
      <c r="A170" s="53"/>
    </row>
    <row r="171">
      <c r="A171" s="53"/>
    </row>
    <row r="172">
      <c r="A172" s="53"/>
    </row>
    <row r="173">
      <c r="A173" s="53"/>
    </row>
    <row r="174">
      <c r="A174" s="53"/>
    </row>
    <row r="175">
      <c r="A175" s="53"/>
    </row>
    <row r="176">
      <c r="A176" s="53"/>
    </row>
    <row r="177">
      <c r="A177" s="53"/>
    </row>
    <row r="178">
      <c r="A178" s="53"/>
    </row>
    <row r="179">
      <c r="A179" s="53"/>
    </row>
    <row r="180">
      <c r="A180" s="53"/>
    </row>
    <row r="181">
      <c r="A181" s="53"/>
    </row>
    <row r="182">
      <c r="A182" s="53"/>
    </row>
    <row r="183">
      <c r="A183" s="53"/>
    </row>
    <row r="184">
      <c r="A184" s="53"/>
    </row>
    <row r="185">
      <c r="A185" s="53"/>
    </row>
    <row r="186">
      <c r="A186" s="53"/>
    </row>
    <row r="187">
      <c r="A187" s="53"/>
    </row>
    <row r="188">
      <c r="A188" s="53"/>
    </row>
    <row r="189">
      <c r="A189" s="53"/>
    </row>
    <row r="190">
      <c r="A190" s="53"/>
    </row>
    <row r="191">
      <c r="A191" s="53"/>
    </row>
    <row r="192">
      <c r="A192" s="53"/>
    </row>
    <row r="193">
      <c r="A193" s="53"/>
    </row>
    <row r="194">
      <c r="A194" s="53"/>
    </row>
    <row r="195">
      <c r="A195" s="53"/>
    </row>
    <row r="196">
      <c r="A196" s="53"/>
    </row>
    <row r="197">
      <c r="A197" s="53"/>
    </row>
    <row r="198">
      <c r="A198" s="53"/>
    </row>
    <row r="199">
      <c r="A199" s="53"/>
    </row>
    <row r="200">
      <c r="A200" s="53"/>
    </row>
    <row r="201">
      <c r="A201" s="53"/>
    </row>
    <row r="202">
      <c r="A202" s="53"/>
    </row>
    <row r="203">
      <c r="A203" s="53"/>
    </row>
    <row r="204">
      <c r="A204" s="53"/>
    </row>
    <row r="205">
      <c r="A205" s="53"/>
    </row>
    <row r="206">
      <c r="A206" s="53"/>
    </row>
    <row r="207">
      <c r="A207" s="53"/>
    </row>
    <row r="208">
      <c r="A208" s="53"/>
    </row>
    <row r="209">
      <c r="A209" s="53"/>
    </row>
    <row r="210">
      <c r="A210" s="53"/>
    </row>
    <row r="211">
      <c r="A211" s="53"/>
    </row>
    <row r="212">
      <c r="A212" s="53"/>
    </row>
    <row r="213">
      <c r="A213" s="53"/>
    </row>
    <row r="214">
      <c r="A214" s="53"/>
    </row>
    <row r="215">
      <c r="A215" s="53"/>
    </row>
    <row r="216">
      <c r="A216" s="53"/>
    </row>
    <row r="217">
      <c r="A217" s="53"/>
    </row>
    <row r="218">
      <c r="A218" s="53"/>
    </row>
    <row r="219">
      <c r="A219" s="53"/>
    </row>
    <row r="220">
      <c r="A220" s="53"/>
    </row>
    <row r="221">
      <c r="A221" s="53"/>
    </row>
    <row r="222">
      <c r="A222" s="53"/>
    </row>
    <row r="223">
      <c r="A223" s="53"/>
    </row>
    <row r="224">
      <c r="A224" s="53"/>
    </row>
    <row r="225">
      <c r="A225" s="53"/>
    </row>
    <row r="226">
      <c r="A226" s="53"/>
    </row>
    <row r="227">
      <c r="A227" s="53"/>
    </row>
    <row r="228">
      <c r="A228" s="53"/>
    </row>
    <row r="229">
      <c r="A229" s="53"/>
    </row>
    <row r="230">
      <c r="A230" s="53"/>
    </row>
    <row r="231">
      <c r="A231" s="53"/>
    </row>
    <row r="232">
      <c r="A232" s="53"/>
    </row>
    <row r="233">
      <c r="A233" s="53"/>
    </row>
    <row r="234">
      <c r="A234" s="53"/>
    </row>
    <row r="235">
      <c r="A235" s="53"/>
    </row>
    <row r="236">
      <c r="A236" s="53"/>
    </row>
    <row r="237">
      <c r="A237" s="53"/>
    </row>
    <row r="238">
      <c r="A238" s="53"/>
    </row>
    <row r="239">
      <c r="A239" s="53"/>
    </row>
    <row r="240">
      <c r="A240" s="53"/>
    </row>
    <row r="241">
      <c r="A241" s="53"/>
    </row>
    <row r="242">
      <c r="A242" s="53"/>
    </row>
    <row r="243">
      <c r="A243" s="53"/>
    </row>
    <row r="244">
      <c r="A244" s="53"/>
    </row>
    <row r="245">
      <c r="A245" s="53"/>
    </row>
    <row r="246">
      <c r="A246" s="53"/>
    </row>
    <row r="247">
      <c r="A247" s="53"/>
    </row>
    <row r="248">
      <c r="A248" s="53"/>
    </row>
    <row r="249">
      <c r="A249" s="53"/>
    </row>
    <row r="250">
      <c r="A250" s="53"/>
    </row>
    <row r="251">
      <c r="A251" s="53"/>
    </row>
    <row r="252">
      <c r="A252" s="53"/>
    </row>
    <row r="253">
      <c r="A253" s="53"/>
    </row>
    <row r="254">
      <c r="A254" s="53"/>
    </row>
    <row r="255">
      <c r="A255" s="53"/>
    </row>
    <row r="256">
      <c r="A256" s="53"/>
    </row>
    <row r="257">
      <c r="A257" s="53"/>
    </row>
    <row r="258">
      <c r="A258" s="53"/>
    </row>
    <row r="259">
      <c r="A259" s="53"/>
    </row>
    <row r="260">
      <c r="A260" s="53"/>
    </row>
    <row r="261">
      <c r="A261" s="53"/>
    </row>
    <row r="262">
      <c r="A262" s="53"/>
    </row>
    <row r="263">
      <c r="A263" s="53"/>
    </row>
    <row r="264">
      <c r="A264" s="53"/>
    </row>
    <row r="265">
      <c r="A265" s="53"/>
    </row>
    <row r="266">
      <c r="A266" s="53"/>
    </row>
    <row r="267">
      <c r="A267" s="53"/>
    </row>
    <row r="268">
      <c r="A268" s="53"/>
    </row>
    <row r="269">
      <c r="A269" s="53"/>
    </row>
    <row r="270">
      <c r="A270" s="53"/>
    </row>
    <row r="271">
      <c r="A271" s="53"/>
    </row>
    <row r="272">
      <c r="A272" s="53"/>
    </row>
    <row r="273">
      <c r="A273" s="53"/>
    </row>
    <row r="274">
      <c r="A274" s="53"/>
    </row>
    <row r="275">
      <c r="A275" s="53"/>
    </row>
    <row r="276">
      <c r="A276" s="53"/>
    </row>
    <row r="277">
      <c r="A277" s="53"/>
    </row>
    <row r="278">
      <c r="A278" s="53"/>
    </row>
    <row r="279">
      <c r="A279" s="53"/>
    </row>
    <row r="280">
      <c r="A280" s="53"/>
    </row>
    <row r="281">
      <c r="A281" s="53"/>
    </row>
    <row r="282">
      <c r="A282" s="53"/>
    </row>
    <row r="283">
      <c r="A283" s="53"/>
    </row>
    <row r="284">
      <c r="A284" s="53"/>
    </row>
    <row r="285">
      <c r="A285" s="53"/>
    </row>
    <row r="286">
      <c r="A286" s="53"/>
    </row>
    <row r="287">
      <c r="A287" s="53"/>
    </row>
    <row r="288">
      <c r="A288" s="53"/>
    </row>
    <row r="289">
      <c r="A289" s="53"/>
    </row>
    <row r="290">
      <c r="A290" s="53"/>
    </row>
    <row r="291">
      <c r="A291" s="53"/>
    </row>
    <row r="292">
      <c r="A292" s="53"/>
    </row>
    <row r="293">
      <c r="A293" s="53"/>
    </row>
    <row r="294">
      <c r="A294" s="53"/>
    </row>
    <row r="295">
      <c r="A295" s="53"/>
    </row>
    <row r="296">
      <c r="A296" s="53"/>
    </row>
    <row r="297">
      <c r="A297" s="53"/>
    </row>
    <row r="298">
      <c r="A298" s="53"/>
    </row>
    <row r="299">
      <c r="A299" s="53"/>
    </row>
    <row r="300">
      <c r="A300" s="53"/>
    </row>
    <row r="301">
      <c r="A301" s="53"/>
    </row>
    <row r="302">
      <c r="A302" s="53"/>
    </row>
    <row r="303">
      <c r="A303" s="53"/>
    </row>
    <row r="304">
      <c r="A304" s="53"/>
    </row>
    <row r="305">
      <c r="A305" s="53"/>
    </row>
    <row r="306">
      <c r="A306" s="53"/>
    </row>
    <row r="307">
      <c r="A307" s="53"/>
    </row>
    <row r="308">
      <c r="A308" s="53"/>
    </row>
    <row r="309">
      <c r="A309" s="53"/>
    </row>
    <row r="310">
      <c r="A310" s="53"/>
    </row>
    <row r="311">
      <c r="A311" s="53"/>
    </row>
    <row r="312">
      <c r="A312" s="53"/>
    </row>
    <row r="313">
      <c r="A313" s="53"/>
    </row>
    <row r="314">
      <c r="A314" s="53"/>
    </row>
    <row r="315">
      <c r="A315" s="53"/>
    </row>
    <row r="316">
      <c r="A316" s="53"/>
    </row>
    <row r="317">
      <c r="A317" s="53"/>
    </row>
    <row r="318">
      <c r="A318" s="53"/>
    </row>
    <row r="319">
      <c r="A319" s="53"/>
    </row>
    <row r="320">
      <c r="A320" s="53"/>
    </row>
    <row r="321">
      <c r="A321" s="53"/>
    </row>
    <row r="322">
      <c r="A322" s="53"/>
    </row>
    <row r="323">
      <c r="A323" s="53"/>
    </row>
    <row r="324">
      <c r="A324" s="53"/>
    </row>
    <row r="325">
      <c r="A325" s="53"/>
    </row>
    <row r="326">
      <c r="A326" s="53"/>
    </row>
    <row r="327">
      <c r="A327" s="53"/>
    </row>
    <row r="328">
      <c r="A328" s="53"/>
    </row>
    <row r="329">
      <c r="A329" s="53"/>
    </row>
    <row r="330">
      <c r="A330" s="53"/>
    </row>
    <row r="331">
      <c r="A331" s="53"/>
    </row>
    <row r="332">
      <c r="A332" s="53"/>
    </row>
    <row r="333">
      <c r="A333" s="53"/>
    </row>
    <row r="334">
      <c r="A334" s="53"/>
    </row>
    <row r="335">
      <c r="A335" s="53"/>
    </row>
    <row r="336">
      <c r="A336" s="53"/>
    </row>
    <row r="337">
      <c r="A337" s="53"/>
    </row>
    <row r="338">
      <c r="A338" s="53"/>
    </row>
    <row r="339">
      <c r="A339" s="53"/>
    </row>
    <row r="340">
      <c r="A340" s="53"/>
    </row>
    <row r="341">
      <c r="A341" s="53"/>
    </row>
    <row r="342">
      <c r="A342" s="53"/>
    </row>
    <row r="343">
      <c r="A343" s="53"/>
    </row>
    <row r="344">
      <c r="A344" s="53"/>
    </row>
    <row r="345">
      <c r="A345" s="53"/>
    </row>
    <row r="346">
      <c r="A346" s="53"/>
    </row>
    <row r="347">
      <c r="A347" s="53"/>
    </row>
    <row r="348">
      <c r="A348" s="53"/>
    </row>
    <row r="349">
      <c r="A349" s="53"/>
    </row>
    <row r="350">
      <c r="A350" s="53"/>
    </row>
    <row r="351">
      <c r="A351" s="53"/>
    </row>
    <row r="352">
      <c r="A352" s="53"/>
    </row>
    <row r="353">
      <c r="A353" s="53"/>
    </row>
    <row r="354">
      <c r="A354" s="53"/>
    </row>
    <row r="355">
      <c r="A355" s="53"/>
    </row>
    <row r="356">
      <c r="A356" s="53"/>
    </row>
    <row r="357">
      <c r="A357" s="53"/>
    </row>
    <row r="358">
      <c r="A358" s="53"/>
    </row>
    <row r="359">
      <c r="A359" s="53"/>
    </row>
    <row r="360">
      <c r="A360" s="53"/>
    </row>
    <row r="361">
      <c r="A361" s="53"/>
    </row>
    <row r="362">
      <c r="A362" s="53"/>
    </row>
    <row r="363">
      <c r="A363" s="53"/>
    </row>
    <row r="364">
      <c r="A364" s="53"/>
    </row>
    <row r="365">
      <c r="A365" s="53"/>
    </row>
    <row r="366">
      <c r="A366" s="53"/>
    </row>
    <row r="367">
      <c r="A367" s="53"/>
    </row>
    <row r="368">
      <c r="A368" s="53"/>
    </row>
    <row r="369">
      <c r="A369" s="53"/>
    </row>
    <row r="370">
      <c r="A370" s="53"/>
    </row>
    <row r="371">
      <c r="A371" s="53"/>
    </row>
    <row r="372">
      <c r="A372" s="53"/>
    </row>
    <row r="373">
      <c r="A373" s="53"/>
    </row>
    <row r="374">
      <c r="A374" s="53"/>
    </row>
    <row r="375">
      <c r="A375" s="53"/>
    </row>
    <row r="376">
      <c r="A376" s="53"/>
    </row>
    <row r="377">
      <c r="A377" s="53"/>
    </row>
    <row r="378">
      <c r="A378" s="53"/>
    </row>
    <row r="379">
      <c r="A379" s="53"/>
    </row>
    <row r="380">
      <c r="A380" s="53"/>
    </row>
    <row r="381">
      <c r="A381" s="53"/>
    </row>
    <row r="382">
      <c r="A382" s="53"/>
    </row>
    <row r="383">
      <c r="A383" s="53"/>
    </row>
    <row r="384">
      <c r="A384" s="53"/>
    </row>
    <row r="385">
      <c r="A385" s="53"/>
    </row>
    <row r="386">
      <c r="A386" s="53"/>
    </row>
    <row r="387">
      <c r="A387" s="53"/>
    </row>
    <row r="388">
      <c r="A388" s="53"/>
    </row>
    <row r="389">
      <c r="A389" s="53"/>
    </row>
    <row r="390">
      <c r="A390" s="53"/>
    </row>
    <row r="391">
      <c r="A391" s="53"/>
    </row>
    <row r="392">
      <c r="A392" s="53"/>
    </row>
    <row r="393">
      <c r="A393" s="53"/>
    </row>
    <row r="394">
      <c r="A394" s="53"/>
    </row>
    <row r="395">
      <c r="A395" s="53"/>
    </row>
    <row r="396">
      <c r="A396" s="53"/>
    </row>
    <row r="397">
      <c r="A397" s="53"/>
    </row>
    <row r="398">
      <c r="A398" s="53"/>
    </row>
    <row r="399">
      <c r="A399" s="53"/>
    </row>
    <row r="400">
      <c r="A400" s="53"/>
    </row>
    <row r="401">
      <c r="A401" s="53"/>
    </row>
    <row r="402">
      <c r="A402" s="53"/>
    </row>
    <row r="403">
      <c r="A403" s="53"/>
    </row>
    <row r="404">
      <c r="A404" s="53"/>
    </row>
    <row r="405">
      <c r="A405" s="53"/>
    </row>
    <row r="406">
      <c r="A406" s="53"/>
    </row>
    <row r="407">
      <c r="A407" s="53"/>
    </row>
    <row r="408">
      <c r="A408" s="53"/>
    </row>
    <row r="409">
      <c r="A409" s="53"/>
    </row>
    <row r="410">
      <c r="A410" s="53"/>
    </row>
    <row r="411">
      <c r="A411" s="53"/>
    </row>
    <row r="412">
      <c r="A412" s="53"/>
    </row>
    <row r="413">
      <c r="A413" s="53"/>
    </row>
    <row r="414">
      <c r="A414" s="53"/>
    </row>
    <row r="415">
      <c r="A415" s="53"/>
    </row>
    <row r="416">
      <c r="A416" s="53"/>
    </row>
    <row r="417">
      <c r="A417" s="53"/>
    </row>
    <row r="418">
      <c r="A418" s="53"/>
    </row>
    <row r="419">
      <c r="A419" s="53"/>
    </row>
    <row r="420">
      <c r="A420" s="53"/>
    </row>
    <row r="421">
      <c r="A421" s="53"/>
    </row>
    <row r="422">
      <c r="A422" s="53"/>
    </row>
    <row r="423">
      <c r="A423" s="53"/>
    </row>
    <row r="424">
      <c r="A424" s="53"/>
    </row>
    <row r="425">
      <c r="A425" s="53"/>
    </row>
    <row r="426">
      <c r="A426" s="53"/>
    </row>
    <row r="427">
      <c r="A427" s="53"/>
    </row>
    <row r="428">
      <c r="A428" s="53"/>
    </row>
    <row r="429">
      <c r="A429" s="53"/>
    </row>
    <row r="430">
      <c r="A430" s="53"/>
    </row>
    <row r="431">
      <c r="A431" s="53"/>
    </row>
    <row r="432">
      <c r="A432" s="53"/>
    </row>
    <row r="433">
      <c r="A433" s="53"/>
    </row>
    <row r="434">
      <c r="A434" s="53"/>
    </row>
    <row r="435">
      <c r="A435" s="53"/>
    </row>
    <row r="436">
      <c r="A436" s="53"/>
    </row>
    <row r="437">
      <c r="A437" s="53"/>
    </row>
    <row r="438">
      <c r="A438" s="53"/>
    </row>
    <row r="439">
      <c r="A439" s="53"/>
    </row>
    <row r="440">
      <c r="A440" s="53"/>
    </row>
    <row r="441">
      <c r="A441" s="53"/>
    </row>
    <row r="442">
      <c r="A442" s="53"/>
    </row>
    <row r="443">
      <c r="A443" s="53"/>
    </row>
    <row r="444">
      <c r="A444" s="53"/>
    </row>
    <row r="445">
      <c r="A445" s="53"/>
    </row>
    <row r="446">
      <c r="A446" s="53"/>
    </row>
    <row r="447">
      <c r="A447" s="53"/>
    </row>
    <row r="448">
      <c r="A448" s="53"/>
    </row>
    <row r="449">
      <c r="A449" s="53"/>
    </row>
    <row r="450">
      <c r="A450" s="53"/>
    </row>
    <row r="451">
      <c r="A451" s="53"/>
    </row>
    <row r="452">
      <c r="A452" s="53"/>
    </row>
    <row r="453">
      <c r="A453" s="53"/>
    </row>
    <row r="454">
      <c r="A454" s="53"/>
    </row>
    <row r="455">
      <c r="A455" s="53"/>
    </row>
    <row r="456">
      <c r="A456" s="53"/>
    </row>
    <row r="457">
      <c r="A457" s="53"/>
    </row>
    <row r="458">
      <c r="A458" s="53"/>
    </row>
    <row r="459">
      <c r="A459" s="53"/>
    </row>
    <row r="460">
      <c r="A460" s="53"/>
    </row>
    <row r="461">
      <c r="A461" s="53"/>
    </row>
    <row r="462">
      <c r="A462" s="53"/>
    </row>
    <row r="463">
      <c r="A463" s="53"/>
    </row>
    <row r="464">
      <c r="A464" s="53"/>
    </row>
    <row r="465">
      <c r="A465" s="53"/>
    </row>
    <row r="466">
      <c r="A466" s="53"/>
    </row>
    <row r="467">
      <c r="A467" s="53"/>
    </row>
    <row r="468">
      <c r="A468" s="53"/>
    </row>
    <row r="469">
      <c r="A469" s="53"/>
    </row>
    <row r="470">
      <c r="A470" s="53"/>
    </row>
    <row r="471">
      <c r="A471" s="53"/>
    </row>
    <row r="472">
      <c r="A472" s="53"/>
    </row>
    <row r="473">
      <c r="A473" s="53"/>
    </row>
    <row r="474">
      <c r="A474" s="53"/>
    </row>
    <row r="475">
      <c r="A475" s="53"/>
    </row>
    <row r="476">
      <c r="A476" s="53"/>
    </row>
    <row r="477">
      <c r="A477" s="53"/>
    </row>
    <row r="478">
      <c r="A478" s="53"/>
    </row>
    <row r="479">
      <c r="A479" s="53"/>
    </row>
    <row r="480">
      <c r="A480" s="53"/>
    </row>
    <row r="481">
      <c r="A481" s="53"/>
    </row>
    <row r="482">
      <c r="A482" s="53"/>
    </row>
    <row r="483">
      <c r="A483" s="53"/>
    </row>
    <row r="484">
      <c r="A484" s="53"/>
    </row>
    <row r="485">
      <c r="A485" s="53"/>
    </row>
    <row r="486">
      <c r="A486" s="53"/>
    </row>
    <row r="487">
      <c r="A487" s="53"/>
    </row>
    <row r="488">
      <c r="A488" s="53"/>
    </row>
    <row r="489">
      <c r="A489" s="53"/>
    </row>
    <row r="490">
      <c r="A490" s="53"/>
    </row>
    <row r="491">
      <c r="A491" s="53"/>
    </row>
    <row r="492">
      <c r="A492" s="53"/>
    </row>
    <row r="493">
      <c r="A493" s="53"/>
    </row>
    <row r="494">
      <c r="A494" s="53"/>
    </row>
    <row r="495">
      <c r="A495" s="53"/>
    </row>
    <row r="496">
      <c r="A496" s="53"/>
    </row>
    <row r="497">
      <c r="A497" s="53"/>
    </row>
    <row r="498">
      <c r="A498" s="53"/>
    </row>
    <row r="499">
      <c r="A499" s="53"/>
    </row>
    <row r="500">
      <c r="A500" s="53"/>
    </row>
    <row r="501">
      <c r="A501" s="53"/>
    </row>
    <row r="502">
      <c r="A502" s="53"/>
    </row>
    <row r="503">
      <c r="A503" s="53"/>
    </row>
    <row r="504">
      <c r="A504" s="53"/>
    </row>
    <row r="505">
      <c r="A505" s="53"/>
    </row>
    <row r="506">
      <c r="A506" s="53"/>
    </row>
    <row r="507">
      <c r="A507" s="53"/>
    </row>
    <row r="508">
      <c r="A508" s="53"/>
    </row>
    <row r="509">
      <c r="A509" s="53"/>
    </row>
    <row r="510">
      <c r="A510" s="53"/>
    </row>
    <row r="511">
      <c r="A511" s="53"/>
    </row>
    <row r="512">
      <c r="A512" s="53"/>
    </row>
    <row r="513">
      <c r="A513" s="53"/>
    </row>
    <row r="514">
      <c r="A514" s="53"/>
    </row>
    <row r="515">
      <c r="A515" s="53"/>
    </row>
    <row r="516">
      <c r="A516" s="53"/>
    </row>
    <row r="517">
      <c r="A517" s="53"/>
    </row>
    <row r="518">
      <c r="A518" s="53"/>
    </row>
    <row r="519">
      <c r="A519" s="53"/>
    </row>
    <row r="520">
      <c r="A520" s="53"/>
    </row>
    <row r="521">
      <c r="A521" s="53"/>
    </row>
    <row r="522">
      <c r="A522" s="53"/>
    </row>
    <row r="523">
      <c r="A523" s="53"/>
    </row>
    <row r="524">
      <c r="A524" s="53"/>
    </row>
    <row r="525">
      <c r="A525" s="53"/>
    </row>
    <row r="526">
      <c r="A526" s="53"/>
    </row>
    <row r="527">
      <c r="A527" s="53"/>
    </row>
    <row r="528">
      <c r="A528" s="53"/>
    </row>
    <row r="529">
      <c r="A529" s="53"/>
    </row>
    <row r="530">
      <c r="A530" s="53"/>
    </row>
    <row r="531">
      <c r="A531" s="53"/>
    </row>
    <row r="532">
      <c r="A532" s="53"/>
    </row>
    <row r="533">
      <c r="A533" s="53"/>
    </row>
    <row r="534">
      <c r="A534" s="53"/>
    </row>
    <row r="535">
      <c r="A535" s="53"/>
    </row>
    <row r="536">
      <c r="A536" s="53"/>
    </row>
    <row r="537">
      <c r="A537" s="53"/>
    </row>
    <row r="538">
      <c r="A538" s="53"/>
    </row>
    <row r="539">
      <c r="A539" s="53"/>
    </row>
    <row r="540">
      <c r="A540" s="53"/>
    </row>
    <row r="541">
      <c r="A541" s="53"/>
    </row>
    <row r="542">
      <c r="A542" s="53"/>
    </row>
    <row r="543">
      <c r="A543" s="53"/>
    </row>
    <row r="544">
      <c r="A544" s="53"/>
    </row>
    <row r="545">
      <c r="A545" s="53"/>
    </row>
    <row r="546">
      <c r="A546" s="53"/>
    </row>
    <row r="547">
      <c r="A547" s="53"/>
    </row>
    <row r="548">
      <c r="A548" s="53"/>
    </row>
    <row r="549">
      <c r="A549" s="53"/>
    </row>
    <row r="550">
      <c r="A550" s="53"/>
    </row>
    <row r="551">
      <c r="A551" s="53"/>
    </row>
    <row r="552">
      <c r="A552" s="53"/>
    </row>
    <row r="553">
      <c r="A553" s="53"/>
    </row>
    <row r="554">
      <c r="A554" s="53"/>
    </row>
    <row r="555">
      <c r="A555" s="53"/>
    </row>
    <row r="556">
      <c r="A556" s="53"/>
    </row>
    <row r="557">
      <c r="A557" s="53"/>
    </row>
    <row r="558">
      <c r="A558" s="53"/>
    </row>
    <row r="559">
      <c r="A559" s="53"/>
    </row>
    <row r="560">
      <c r="A560" s="53"/>
    </row>
    <row r="561">
      <c r="A561" s="53"/>
    </row>
    <row r="562">
      <c r="A562" s="53"/>
    </row>
    <row r="563">
      <c r="A563" s="53"/>
    </row>
    <row r="564">
      <c r="A564" s="53"/>
    </row>
    <row r="565">
      <c r="A565" s="53"/>
    </row>
    <row r="566">
      <c r="A566" s="53"/>
    </row>
    <row r="567">
      <c r="A567" s="53"/>
    </row>
    <row r="568">
      <c r="A568" s="53"/>
    </row>
    <row r="569">
      <c r="A569" s="53"/>
    </row>
    <row r="570">
      <c r="A570" s="53"/>
    </row>
    <row r="571">
      <c r="A571" s="53"/>
    </row>
    <row r="572">
      <c r="A572" s="53"/>
    </row>
    <row r="573">
      <c r="A573" s="53"/>
    </row>
    <row r="574">
      <c r="A574" s="53"/>
    </row>
    <row r="575">
      <c r="A575" s="53"/>
    </row>
    <row r="576">
      <c r="A576" s="53"/>
    </row>
    <row r="577">
      <c r="A577" s="53"/>
    </row>
    <row r="578">
      <c r="A578" s="53"/>
    </row>
    <row r="579">
      <c r="A579" s="53"/>
    </row>
    <row r="580">
      <c r="A580" s="53"/>
    </row>
    <row r="581">
      <c r="A581" s="53"/>
    </row>
    <row r="582">
      <c r="A582" s="53"/>
    </row>
    <row r="583">
      <c r="A583" s="53"/>
    </row>
    <row r="584">
      <c r="A584" s="53"/>
    </row>
    <row r="585">
      <c r="A585" s="53"/>
    </row>
    <row r="586">
      <c r="A586" s="53"/>
    </row>
    <row r="587">
      <c r="A587" s="53"/>
    </row>
    <row r="588">
      <c r="A588" s="53"/>
    </row>
    <row r="589">
      <c r="A589" s="53"/>
    </row>
    <row r="590">
      <c r="A590" s="53"/>
    </row>
    <row r="591">
      <c r="A591" s="53"/>
    </row>
    <row r="592">
      <c r="A592" s="53"/>
    </row>
    <row r="593">
      <c r="A593" s="53"/>
    </row>
    <row r="594">
      <c r="A594" s="53"/>
    </row>
    <row r="595">
      <c r="A595" s="53"/>
    </row>
    <row r="596">
      <c r="A596" s="53"/>
    </row>
    <row r="597">
      <c r="A597" s="53"/>
    </row>
    <row r="598">
      <c r="A598" s="53"/>
    </row>
    <row r="599">
      <c r="A599" s="53"/>
    </row>
    <row r="600">
      <c r="A600" s="53"/>
    </row>
    <row r="601">
      <c r="A601" s="53"/>
    </row>
    <row r="602">
      <c r="A602" s="53"/>
    </row>
    <row r="603">
      <c r="A603" s="53"/>
    </row>
    <row r="604">
      <c r="A604" s="53"/>
    </row>
    <row r="605">
      <c r="A605" s="53"/>
    </row>
    <row r="606">
      <c r="A606" s="53"/>
    </row>
    <row r="607">
      <c r="A607" s="53"/>
    </row>
    <row r="608">
      <c r="A608" s="53"/>
    </row>
    <row r="609">
      <c r="A609" s="53"/>
    </row>
    <row r="610">
      <c r="A610" s="53"/>
    </row>
    <row r="611">
      <c r="A611" s="53"/>
    </row>
    <row r="612">
      <c r="A612" s="53"/>
    </row>
    <row r="613">
      <c r="A613" s="53"/>
    </row>
    <row r="614">
      <c r="A614" s="53"/>
    </row>
    <row r="615">
      <c r="A615" s="53"/>
    </row>
    <row r="616">
      <c r="A616" s="53"/>
    </row>
    <row r="617">
      <c r="A617" s="53"/>
    </row>
    <row r="618">
      <c r="A618" s="53"/>
    </row>
    <row r="619">
      <c r="A619" s="53"/>
    </row>
    <row r="620">
      <c r="A620" s="53"/>
    </row>
    <row r="621">
      <c r="A621" s="53"/>
    </row>
    <row r="622">
      <c r="A622" s="53"/>
    </row>
    <row r="623">
      <c r="A623" s="53"/>
    </row>
    <row r="624">
      <c r="A624" s="53"/>
    </row>
    <row r="625">
      <c r="A625" s="53"/>
    </row>
    <row r="626">
      <c r="A626" s="53"/>
    </row>
    <row r="627">
      <c r="A627" s="53"/>
    </row>
    <row r="628">
      <c r="A628" s="53"/>
    </row>
    <row r="629">
      <c r="A629" s="53"/>
    </row>
    <row r="630">
      <c r="A630" s="53"/>
    </row>
    <row r="631">
      <c r="A631" s="53"/>
    </row>
    <row r="632">
      <c r="A632" s="53"/>
    </row>
    <row r="633">
      <c r="A633" s="53"/>
    </row>
    <row r="634">
      <c r="A634" s="53"/>
    </row>
    <row r="635">
      <c r="A635" s="53"/>
    </row>
    <row r="636">
      <c r="A636" s="53"/>
    </row>
    <row r="637">
      <c r="A637" s="53"/>
    </row>
    <row r="638">
      <c r="A638" s="53"/>
    </row>
    <row r="639">
      <c r="A639" s="53"/>
    </row>
    <row r="640">
      <c r="A640" s="53"/>
    </row>
    <row r="641">
      <c r="A641" s="53"/>
    </row>
    <row r="642">
      <c r="A642" s="53"/>
    </row>
    <row r="643">
      <c r="A643" s="53"/>
    </row>
    <row r="644">
      <c r="A644" s="53"/>
    </row>
    <row r="645">
      <c r="A645" s="53"/>
    </row>
    <row r="646">
      <c r="A646" s="53"/>
    </row>
    <row r="647">
      <c r="A647" s="53"/>
    </row>
    <row r="648">
      <c r="A648" s="53"/>
    </row>
    <row r="649">
      <c r="A649" s="53"/>
    </row>
    <row r="650">
      <c r="A650" s="53"/>
    </row>
    <row r="651">
      <c r="A651" s="53"/>
    </row>
    <row r="652">
      <c r="A652" s="53"/>
    </row>
    <row r="653">
      <c r="A653" s="53"/>
    </row>
    <row r="654">
      <c r="A654" s="53"/>
    </row>
    <row r="655">
      <c r="A655" s="53"/>
    </row>
    <row r="656">
      <c r="A656" s="53"/>
    </row>
    <row r="657">
      <c r="A657" s="53"/>
    </row>
    <row r="658">
      <c r="A658" s="53"/>
    </row>
    <row r="659">
      <c r="A659" s="53"/>
    </row>
    <row r="660">
      <c r="A660" s="53"/>
    </row>
    <row r="661">
      <c r="A661" s="53"/>
    </row>
    <row r="662">
      <c r="A662" s="53"/>
    </row>
    <row r="663">
      <c r="A663" s="53"/>
    </row>
    <row r="664">
      <c r="A664" s="53"/>
    </row>
    <row r="665">
      <c r="A665" s="53"/>
    </row>
    <row r="666">
      <c r="A666" s="53"/>
    </row>
    <row r="667">
      <c r="A667" s="53"/>
    </row>
    <row r="668">
      <c r="A668" s="53"/>
    </row>
    <row r="669">
      <c r="A669" s="53"/>
    </row>
    <row r="670">
      <c r="A670" s="53"/>
    </row>
    <row r="671">
      <c r="A671" s="53"/>
    </row>
    <row r="672">
      <c r="A672" s="53"/>
    </row>
    <row r="673">
      <c r="A673" s="53"/>
    </row>
    <row r="674">
      <c r="A674" s="53"/>
    </row>
    <row r="675">
      <c r="A675" s="53"/>
    </row>
    <row r="676">
      <c r="A676" s="53"/>
    </row>
    <row r="677">
      <c r="A677" s="53"/>
    </row>
    <row r="678">
      <c r="A678" s="53"/>
    </row>
    <row r="679">
      <c r="A679" s="53"/>
    </row>
    <row r="680">
      <c r="A680" s="53"/>
    </row>
    <row r="681">
      <c r="A681" s="53"/>
    </row>
    <row r="682">
      <c r="A682" s="53"/>
    </row>
    <row r="683">
      <c r="A683" s="53"/>
    </row>
    <row r="684">
      <c r="A684" s="53"/>
    </row>
    <row r="685">
      <c r="A685" s="53"/>
    </row>
    <row r="686">
      <c r="A686" s="53"/>
    </row>
    <row r="687">
      <c r="A687" s="53"/>
    </row>
    <row r="688">
      <c r="A688" s="53"/>
    </row>
    <row r="689">
      <c r="A689" s="53"/>
    </row>
    <row r="690">
      <c r="A690" s="53"/>
    </row>
    <row r="691">
      <c r="A691" s="53"/>
    </row>
    <row r="692">
      <c r="A692" s="53"/>
    </row>
    <row r="693">
      <c r="A693" s="53"/>
    </row>
    <row r="694">
      <c r="A694" s="53"/>
    </row>
    <row r="695">
      <c r="A695" s="53"/>
    </row>
    <row r="696">
      <c r="A696" s="53"/>
    </row>
    <row r="697">
      <c r="A697" s="53"/>
    </row>
    <row r="698">
      <c r="A698" s="53"/>
    </row>
    <row r="699">
      <c r="A699" s="53"/>
    </row>
    <row r="700">
      <c r="A700" s="53"/>
    </row>
    <row r="701">
      <c r="A701" s="53"/>
    </row>
    <row r="702">
      <c r="A702" s="53"/>
    </row>
    <row r="703">
      <c r="A703" s="53"/>
    </row>
    <row r="704">
      <c r="A704" s="53"/>
    </row>
    <row r="705">
      <c r="A705" s="53"/>
    </row>
    <row r="706">
      <c r="A706" s="53"/>
    </row>
    <row r="707">
      <c r="A707" s="53"/>
    </row>
    <row r="708">
      <c r="A708" s="53"/>
    </row>
    <row r="709">
      <c r="A709" s="53"/>
    </row>
    <row r="710">
      <c r="A710" s="53"/>
    </row>
    <row r="711">
      <c r="A711" s="53"/>
    </row>
    <row r="712">
      <c r="A712" s="53"/>
    </row>
    <row r="713">
      <c r="A713" s="53"/>
    </row>
    <row r="714">
      <c r="A714" s="53"/>
    </row>
    <row r="715">
      <c r="A715" s="53"/>
    </row>
    <row r="716">
      <c r="A716" s="53"/>
    </row>
    <row r="717">
      <c r="A717" s="53"/>
    </row>
    <row r="718">
      <c r="A718" s="53"/>
    </row>
    <row r="719">
      <c r="A719" s="53"/>
    </row>
    <row r="720">
      <c r="A720" s="53"/>
    </row>
    <row r="721">
      <c r="A721" s="53"/>
    </row>
    <row r="722">
      <c r="A722" s="53"/>
    </row>
    <row r="723">
      <c r="A723" s="53"/>
    </row>
    <row r="724">
      <c r="A724" s="53"/>
    </row>
    <row r="725">
      <c r="A725" s="53"/>
    </row>
    <row r="726">
      <c r="A726" s="53"/>
    </row>
    <row r="727">
      <c r="A727" s="53"/>
    </row>
    <row r="728">
      <c r="A728" s="53"/>
    </row>
    <row r="729">
      <c r="A729" s="53"/>
    </row>
    <row r="730">
      <c r="A730" s="53"/>
    </row>
    <row r="731">
      <c r="A731" s="53"/>
    </row>
    <row r="732">
      <c r="A732" s="53"/>
    </row>
    <row r="733">
      <c r="A733" s="53"/>
    </row>
    <row r="734">
      <c r="A734" s="53"/>
    </row>
    <row r="735">
      <c r="A735" s="53"/>
    </row>
    <row r="736">
      <c r="A736" s="53"/>
    </row>
    <row r="737">
      <c r="A737" s="53"/>
    </row>
    <row r="738">
      <c r="A738" s="53"/>
    </row>
    <row r="739">
      <c r="A739" s="53"/>
    </row>
    <row r="740">
      <c r="A740" s="53"/>
    </row>
    <row r="741">
      <c r="A741" s="53"/>
    </row>
    <row r="742">
      <c r="A742" s="53"/>
    </row>
    <row r="743">
      <c r="A743" s="53"/>
    </row>
    <row r="744">
      <c r="A744" s="53"/>
    </row>
    <row r="745">
      <c r="A745" s="53"/>
    </row>
    <row r="746">
      <c r="A746" s="53"/>
    </row>
    <row r="747">
      <c r="A747" s="53"/>
    </row>
    <row r="748">
      <c r="A748" s="53"/>
    </row>
    <row r="749">
      <c r="A749" s="53"/>
    </row>
    <row r="750">
      <c r="A750" s="53"/>
    </row>
    <row r="751">
      <c r="A751" s="53"/>
    </row>
    <row r="752">
      <c r="A752" s="53"/>
    </row>
    <row r="753">
      <c r="A753" s="53"/>
    </row>
    <row r="754">
      <c r="A754" s="53"/>
    </row>
    <row r="755">
      <c r="A755" s="53"/>
    </row>
    <row r="756">
      <c r="A756" s="53"/>
    </row>
    <row r="757">
      <c r="A757" s="53"/>
    </row>
    <row r="758">
      <c r="A758" s="53"/>
    </row>
    <row r="759">
      <c r="A759" s="53"/>
    </row>
    <row r="760">
      <c r="A760" s="53"/>
    </row>
    <row r="761">
      <c r="A761" s="53"/>
    </row>
    <row r="762">
      <c r="A762" s="53"/>
    </row>
    <row r="763">
      <c r="A763" s="53"/>
    </row>
    <row r="764">
      <c r="A764" s="53"/>
    </row>
    <row r="765">
      <c r="A765" s="53"/>
    </row>
    <row r="766">
      <c r="A766" s="53"/>
    </row>
    <row r="767">
      <c r="A767" s="53"/>
    </row>
    <row r="768">
      <c r="A768" s="53"/>
    </row>
    <row r="769">
      <c r="A769" s="53"/>
    </row>
    <row r="770">
      <c r="A770" s="53"/>
    </row>
    <row r="771">
      <c r="A771" s="53"/>
    </row>
    <row r="772">
      <c r="A772" s="53"/>
    </row>
    <row r="773">
      <c r="A773" s="53"/>
    </row>
    <row r="774">
      <c r="A774" s="53"/>
    </row>
    <row r="775">
      <c r="A775" s="53"/>
    </row>
    <row r="776">
      <c r="A776" s="53"/>
    </row>
    <row r="777">
      <c r="A777" s="53"/>
    </row>
    <row r="778">
      <c r="A778" s="53"/>
    </row>
    <row r="779">
      <c r="A779" s="53"/>
    </row>
    <row r="780">
      <c r="A780" s="53"/>
    </row>
    <row r="781">
      <c r="A781" s="53"/>
    </row>
    <row r="782">
      <c r="A782" s="53"/>
    </row>
    <row r="783">
      <c r="A783" s="53"/>
    </row>
    <row r="784">
      <c r="A784" s="53"/>
    </row>
    <row r="785">
      <c r="A785" s="53"/>
    </row>
    <row r="786">
      <c r="A786" s="53"/>
    </row>
    <row r="787">
      <c r="A787" s="53"/>
    </row>
    <row r="788">
      <c r="A788" s="53"/>
    </row>
    <row r="789">
      <c r="A789" s="53"/>
    </row>
    <row r="790">
      <c r="A790" s="53"/>
    </row>
    <row r="791">
      <c r="A791" s="53"/>
    </row>
    <row r="792">
      <c r="A792" s="53"/>
    </row>
    <row r="793">
      <c r="A793" s="53"/>
    </row>
    <row r="794">
      <c r="A794" s="53"/>
    </row>
    <row r="795">
      <c r="A795" s="53"/>
    </row>
    <row r="796">
      <c r="A796" s="53"/>
    </row>
    <row r="797">
      <c r="A797" s="53"/>
    </row>
    <row r="798">
      <c r="A798" s="53"/>
    </row>
    <row r="799">
      <c r="A799" s="53"/>
    </row>
    <row r="800">
      <c r="A800" s="53"/>
    </row>
    <row r="801">
      <c r="A801" s="53"/>
    </row>
    <row r="802">
      <c r="A802" s="53"/>
    </row>
    <row r="803">
      <c r="A803" s="53"/>
    </row>
    <row r="804">
      <c r="A804" s="53"/>
    </row>
    <row r="805">
      <c r="A805" s="53"/>
    </row>
    <row r="806">
      <c r="A806" s="53"/>
    </row>
    <row r="807">
      <c r="A807" s="53"/>
    </row>
    <row r="808">
      <c r="A808" s="53"/>
    </row>
    <row r="809">
      <c r="A809" s="53"/>
    </row>
    <row r="810">
      <c r="A810" s="53"/>
    </row>
    <row r="811">
      <c r="A811" s="53"/>
    </row>
    <row r="812">
      <c r="A812" s="53"/>
    </row>
    <row r="813">
      <c r="A813" s="53"/>
    </row>
    <row r="814">
      <c r="A814" s="53"/>
    </row>
    <row r="815">
      <c r="A815" s="53"/>
    </row>
    <row r="816">
      <c r="A816" s="53"/>
    </row>
    <row r="817">
      <c r="A817" s="53"/>
    </row>
    <row r="818">
      <c r="A818" s="53"/>
    </row>
    <row r="819">
      <c r="A819" s="53"/>
    </row>
    <row r="820">
      <c r="A820" s="53"/>
    </row>
    <row r="821">
      <c r="A821" s="53"/>
    </row>
    <row r="822">
      <c r="A822" s="53"/>
    </row>
    <row r="823">
      <c r="A823" s="53"/>
    </row>
    <row r="824">
      <c r="A824" s="53"/>
    </row>
    <row r="825">
      <c r="A825" s="53"/>
    </row>
    <row r="826">
      <c r="A826" s="53"/>
    </row>
    <row r="827">
      <c r="A827" s="53"/>
    </row>
    <row r="828">
      <c r="A828" s="53"/>
    </row>
    <row r="829">
      <c r="A829" s="53"/>
    </row>
    <row r="830">
      <c r="A830" s="53"/>
    </row>
    <row r="831">
      <c r="A831" s="53"/>
    </row>
    <row r="832">
      <c r="A832" s="53"/>
    </row>
    <row r="833">
      <c r="A833" s="53"/>
    </row>
    <row r="834">
      <c r="A834" s="53"/>
    </row>
    <row r="835">
      <c r="A835" s="53"/>
    </row>
    <row r="836">
      <c r="A836" s="53"/>
    </row>
    <row r="837">
      <c r="A837" s="53"/>
    </row>
    <row r="838">
      <c r="A838" s="53"/>
    </row>
    <row r="839">
      <c r="A839" s="53"/>
    </row>
    <row r="840">
      <c r="A840" s="53"/>
    </row>
    <row r="841">
      <c r="A841" s="53"/>
    </row>
    <row r="842">
      <c r="A842" s="53"/>
    </row>
    <row r="843">
      <c r="A843" s="53"/>
    </row>
    <row r="844">
      <c r="A844" s="53"/>
    </row>
    <row r="845">
      <c r="A845" s="53"/>
    </row>
    <row r="846">
      <c r="A846" s="53"/>
    </row>
    <row r="847">
      <c r="A847" s="53"/>
    </row>
    <row r="848">
      <c r="A848" s="53"/>
    </row>
    <row r="849">
      <c r="A849" s="53"/>
    </row>
    <row r="850">
      <c r="A850" s="53"/>
    </row>
    <row r="851">
      <c r="A851" s="53"/>
    </row>
    <row r="852">
      <c r="A852" s="53"/>
    </row>
    <row r="853">
      <c r="A853" s="53"/>
    </row>
    <row r="854">
      <c r="A854" s="53"/>
    </row>
    <row r="855">
      <c r="A855" s="53"/>
    </row>
    <row r="856">
      <c r="A856" s="53"/>
    </row>
    <row r="857">
      <c r="A857" s="53"/>
    </row>
    <row r="858">
      <c r="A858" s="53"/>
    </row>
    <row r="859">
      <c r="A859" s="53"/>
    </row>
    <row r="860">
      <c r="A860" s="53"/>
    </row>
    <row r="861">
      <c r="A861" s="53"/>
    </row>
    <row r="862">
      <c r="A862" s="53"/>
    </row>
    <row r="863">
      <c r="A863" s="53"/>
    </row>
    <row r="864">
      <c r="A864" s="53"/>
    </row>
    <row r="865">
      <c r="A865" s="53"/>
    </row>
    <row r="866">
      <c r="A866" s="53"/>
    </row>
    <row r="867">
      <c r="A867" s="53"/>
    </row>
    <row r="868">
      <c r="A868" s="53"/>
    </row>
    <row r="869">
      <c r="A869" s="53"/>
    </row>
    <row r="870">
      <c r="A870" s="53"/>
    </row>
    <row r="871">
      <c r="A871" s="53"/>
    </row>
    <row r="872">
      <c r="A872" s="53"/>
    </row>
    <row r="873">
      <c r="A873" s="53"/>
    </row>
    <row r="874">
      <c r="A874" s="53"/>
    </row>
    <row r="875">
      <c r="A875" s="53"/>
    </row>
    <row r="876">
      <c r="A876" s="53"/>
    </row>
    <row r="877">
      <c r="A877" s="53"/>
    </row>
    <row r="878">
      <c r="A878" s="53"/>
    </row>
    <row r="879">
      <c r="A879" s="53"/>
    </row>
    <row r="880">
      <c r="A880" s="53"/>
    </row>
    <row r="881">
      <c r="A881" s="53"/>
    </row>
    <row r="882">
      <c r="A882" s="53"/>
    </row>
    <row r="883">
      <c r="A883" s="53"/>
    </row>
    <row r="884">
      <c r="A884" s="53"/>
    </row>
    <row r="885">
      <c r="A885" s="53"/>
    </row>
    <row r="886">
      <c r="A886" s="53"/>
    </row>
    <row r="887">
      <c r="A887" s="53"/>
    </row>
    <row r="888">
      <c r="A888" s="53"/>
    </row>
    <row r="889">
      <c r="A889" s="53"/>
    </row>
    <row r="890">
      <c r="A890" s="53"/>
    </row>
    <row r="891">
      <c r="A891" s="53"/>
    </row>
    <row r="892">
      <c r="A892" s="53"/>
    </row>
    <row r="893">
      <c r="A893" s="53"/>
    </row>
    <row r="894">
      <c r="A894" s="53"/>
    </row>
    <row r="895">
      <c r="A895" s="53"/>
    </row>
    <row r="896">
      <c r="A896" s="53"/>
    </row>
    <row r="897">
      <c r="A897" s="53"/>
    </row>
    <row r="898">
      <c r="A898" s="53"/>
    </row>
    <row r="899">
      <c r="A899" s="53"/>
    </row>
    <row r="900">
      <c r="A900" s="53"/>
    </row>
    <row r="901">
      <c r="A901" s="53"/>
    </row>
    <row r="902">
      <c r="A902" s="53"/>
    </row>
    <row r="903">
      <c r="A903" s="53"/>
    </row>
    <row r="904">
      <c r="A904" s="53"/>
    </row>
    <row r="905">
      <c r="A905" s="53"/>
    </row>
    <row r="906">
      <c r="A906" s="53"/>
    </row>
    <row r="907">
      <c r="A907" s="53"/>
    </row>
    <row r="908">
      <c r="A908" s="53"/>
    </row>
    <row r="909">
      <c r="A909" s="53"/>
    </row>
    <row r="910">
      <c r="A910" s="53"/>
    </row>
    <row r="911">
      <c r="A911" s="53"/>
    </row>
    <row r="912">
      <c r="A912" s="53"/>
    </row>
    <row r="913">
      <c r="A913" s="53"/>
    </row>
    <row r="914">
      <c r="A914" s="53"/>
    </row>
    <row r="915">
      <c r="A915" s="53"/>
    </row>
    <row r="916">
      <c r="A916" s="53"/>
    </row>
    <row r="917">
      <c r="A917" s="53"/>
    </row>
    <row r="918">
      <c r="A918" s="53"/>
    </row>
    <row r="919">
      <c r="A919" s="53"/>
    </row>
    <row r="920">
      <c r="A920" s="53"/>
    </row>
    <row r="921">
      <c r="A921" s="53"/>
    </row>
    <row r="922">
      <c r="A922" s="53"/>
    </row>
    <row r="923">
      <c r="A923" s="53"/>
    </row>
    <row r="924">
      <c r="A924" s="53"/>
    </row>
    <row r="925">
      <c r="A925" s="53"/>
    </row>
    <row r="926">
      <c r="A926" s="53"/>
    </row>
    <row r="927">
      <c r="A927" s="53"/>
    </row>
    <row r="928">
      <c r="A928" s="53"/>
    </row>
    <row r="929">
      <c r="A929" s="53"/>
    </row>
    <row r="930">
      <c r="A930" s="53"/>
    </row>
    <row r="931">
      <c r="A931" s="53"/>
    </row>
    <row r="932">
      <c r="A932" s="53"/>
    </row>
    <row r="933">
      <c r="A933" s="53"/>
    </row>
    <row r="934">
      <c r="A934" s="53"/>
    </row>
    <row r="935">
      <c r="A935" s="53"/>
    </row>
    <row r="936">
      <c r="A936" s="53"/>
    </row>
    <row r="937">
      <c r="A937" s="53"/>
    </row>
    <row r="938">
      <c r="A938" s="53"/>
    </row>
    <row r="939">
      <c r="A939" s="53"/>
    </row>
    <row r="940">
      <c r="A940" s="53"/>
    </row>
    <row r="941">
      <c r="A941" s="53"/>
    </row>
    <row r="942">
      <c r="A942" s="53"/>
    </row>
    <row r="943">
      <c r="A943" s="53"/>
    </row>
    <row r="944">
      <c r="A944" s="53"/>
    </row>
    <row r="945">
      <c r="A945" s="53"/>
    </row>
    <row r="946">
      <c r="A946" s="53"/>
    </row>
    <row r="947">
      <c r="A947" s="53"/>
    </row>
    <row r="948">
      <c r="A948" s="53"/>
    </row>
    <row r="949">
      <c r="A949" s="53"/>
    </row>
    <row r="950">
      <c r="A950" s="53"/>
    </row>
    <row r="951">
      <c r="A951" s="53"/>
    </row>
    <row r="952">
      <c r="A952" s="53"/>
    </row>
    <row r="953">
      <c r="A953" s="53"/>
    </row>
    <row r="954">
      <c r="A954" s="53"/>
    </row>
    <row r="955">
      <c r="A955" s="53"/>
    </row>
    <row r="956">
      <c r="A956" s="53"/>
    </row>
    <row r="957">
      <c r="A957" s="53"/>
    </row>
    <row r="958">
      <c r="A958" s="53"/>
    </row>
    <row r="959">
      <c r="A959" s="53"/>
    </row>
    <row r="960">
      <c r="A960" s="53"/>
    </row>
    <row r="961">
      <c r="A961" s="53"/>
    </row>
    <row r="962">
      <c r="A962" s="53"/>
    </row>
    <row r="963">
      <c r="A963" s="53"/>
    </row>
    <row r="964">
      <c r="A964" s="53"/>
    </row>
    <row r="965">
      <c r="A965" s="53"/>
    </row>
    <row r="966">
      <c r="A966" s="53"/>
    </row>
    <row r="967">
      <c r="A967" s="53"/>
    </row>
    <row r="968">
      <c r="A968" s="53"/>
    </row>
    <row r="969">
      <c r="A969" s="53"/>
    </row>
    <row r="970">
      <c r="A970" s="53"/>
    </row>
    <row r="971">
      <c r="A971" s="53"/>
    </row>
    <row r="972">
      <c r="A972" s="53"/>
    </row>
    <row r="973">
      <c r="A973" s="53"/>
    </row>
    <row r="974">
      <c r="A974" s="53"/>
    </row>
    <row r="975">
      <c r="A975" s="53"/>
    </row>
    <row r="976">
      <c r="A976" s="53"/>
    </row>
    <row r="977">
      <c r="A977" s="53"/>
    </row>
    <row r="978">
      <c r="A978" s="53"/>
    </row>
    <row r="979">
      <c r="A979" s="53"/>
    </row>
    <row r="980">
      <c r="A980" s="53"/>
    </row>
    <row r="981">
      <c r="A981" s="53"/>
    </row>
    <row r="982">
      <c r="A982" s="53"/>
    </row>
    <row r="983">
      <c r="A983" s="53"/>
    </row>
    <row r="984">
      <c r="A984" s="53"/>
    </row>
    <row r="985">
      <c r="A985" s="53"/>
    </row>
    <row r="986">
      <c r="A986" s="53"/>
    </row>
    <row r="987">
      <c r="A987" s="53"/>
    </row>
    <row r="988">
      <c r="A988" s="53"/>
    </row>
    <row r="989">
      <c r="A989" s="53"/>
    </row>
    <row r="990">
      <c r="A990" s="53"/>
    </row>
    <row r="991">
      <c r="A991" s="53"/>
    </row>
    <row r="992">
      <c r="A992" s="53"/>
    </row>
    <row r="993">
      <c r="A993" s="53"/>
    </row>
    <row r="994">
      <c r="A994" s="53"/>
    </row>
    <row r="995">
      <c r="A995" s="53"/>
    </row>
    <row r="996">
      <c r="A996" s="53"/>
    </row>
    <row r="997">
      <c r="A997" s="53"/>
    </row>
    <row r="998">
      <c r="A998" s="53"/>
    </row>
    <row r="999">
      <c r="A999" s="53"/>
    </row>
    <row r="1000">
      <c r="A1000" s="5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6.38"/>
    <col customWidth="1" min="3" max="3" width="10.88"/>
    <col customWidth="1" min="4" max="4" width="25.13"/>
    <col customWidth="1" min="5" max="5" width="8.13"/>
    <col customWidth="1" min="6" max="6" width="13.5"/>
    <col customWidth="1" min="7" max="7" width="13.25"/>
    <col customWidth="1" min="8" max="8" width="21.0"/>
    <col customWidth="1" min="9" max="9" width="9.5"/>
    <col customWidth="1" min="10" max="10" width="6.63"/>
    <col customWidth="1" min="11" max="11" width="16.38"/>
  </cols>
  <sheetData>
    <row r="1">
      <c r="A1" s="101" t="s">
        <v>0</v>
      </c>
      <c r="B1" s="101" t="s">
        <v>34</v>
      </c>
      <c r="C1" s="101" t="s">
        <v>35</v>
      </c>
      <c r="D1" s="101" t="s">
        <v>36</v>
      </c>
      <c r="E1" s="101" t="s">
        <v>37</v>
      </c>
      <c r="F1" s="101" t="s">
        <v>38</v>
      </c>
      <c r="G1" s="101" t="s">
        <v>798</v>
      </c>
      <c r="H1" s="101" t="s">
        <v>40</v>
      </c>
      <c r="I1" s="101" t="s">
        <v>799</v>
      </c>
      <c r="J1" s="101" t="s">
        <v>800</v>
      </c>
      <c r="K1" s="101" t="s">
        <v>801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03" t="s">
        <v>15</v>
      </c>
      <c r="B2" s="104" t="s">
        <v>802</v>
      </c>
      <c r="C2" s="103" t="s">
        <v>803</v>
      </c>
      <c r="D2" s="105" t="s">
        <v>804</v>
      </c>
      <c r="E2" s="106">
        <v>24.0</v>
      </c>
      <c r="F2" s="107">
        <v>568.0</v>
      </c>
      <c r="G2" s="107">
        <v>534.0</v>
      </c>
      <c r="H2" s="108">
        <v>0.003981481481481482</v>
      </c>
      <c r="I2" s="109">
        <v>0.8218</v>
      </c>
      <c r="J2" s="110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>
      <c r="A3" s="103" t="s">
        <v>15</v>
      </c>
      <c r="B3" s="104" t="s">
        <v>205</v>
      </c>
      <c r="C3" s="103" t="s">
        <v>805</v>
      </c>
      <c r="D3" s="105" t="s">
        <v>806</v>
      </c>
      <c r="E3" s="106">
        <v>19.0</v>
      </c>
      <c r="F3" s="107">
        <v>1103.0</v>
      </c>
      <c r="G3" s="107">
        <v>669.0</v>
      </c>
      <c r="H3" s="108">
        <v>7.986111111111112E-4</v>
      </c>
      <c r="I3" s="109">
        <v>0.7976</v>
      </c>
      <c r="J3" s="110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>
      <c r="A4" s="103" t="s">
        <v>15</v>
      </c>
      <c r="B4" s="104" t="s">
        <v>205</v>
      </c>
      <c r="C4" s="103" t="s">
        <v>807</v>
      </c>
      <c r="D4" s="105" t="s">
        <v>808</v>
      </c>
      <c r="E4" s="106">
        <v>20.0</v>
      </c>
      <c r="F4" s="107">
        <v>1394.0</v>
      </c>
      <c r="G4" s="107">
        <v>813.0</v>
      </c>
      <c r="H4" s="108">
        <v>0.0011111111111111111</v>
      </c>
      <c r="I4" s="109">
        <v>0.7917</v>
      </c>
      <c r="J4" s="110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>
      <c r="A5" s="103" t="s">
        <v>15</v>
      </c>
      <c r="B5" s="104" t="s">
        <v>205</v>
      </c>
      <c r="C5" s="103" t="s">
        <v>809</v>
      </c>
      <c r="D5" s="105" t="s">
        <v>810</v>
      </c>
      <c r="E5" s="106">
        <v>26.0</v>
      </c>
      <c r="F5" s="107">
        <v>1947.0</v>
      </c>
      <c r="G5" s="107">
        <v>1019.0</v>
      </c>
      <c r="H5" s="108">
        <v>0.0010185185185185184</v>
      </c>
      <c r="I5" s="109">
        <v>0.9538</v>
      </c>
      <c r="J5" s="110"/>
      <c r="K5" s="102"/>
      <c r="L5" s="111"/>
      <c r="M5" s="111"/>
      <c r="N5" s="111"/>
      <c r="O5" s="11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>
      <c r="A6" s="103" t="s">
        <v>15</v>
      </c>
      <c r="B6" s="104" t="s">
        <v>205</v>
      </c>
      <c r="C6" s="103" t="s">
        <v>811</v>
      </c>
      <c r="D6" s="105" t="s">
        <v>812</v>
      </c>
      <c r="E6" s="106">
        <v>26.0</v>
      </c>
      <c r="F6" s="107">
        <v>1547.0</v>
      </c>
      <c r="G6" s="107">
        <v>957.0</v>
      </c>
      <c r="H6" s="108">
        <v>9.722222222222222E-4</v>
      </c>
      <c r="I6" s="109">
        <v>0.7077</v>
      </c>
      <c r="J6" s="110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>
      <c r="A7" s="103" t="s">
        <v>15</v>
      </c>
      <c r="B7" s="104" t="s">
        <v>205</v>
      </c>
      <c r="C7" s="103" t="s">
        <v>813</v>
      </c>
      <c r="D7" s="105" t="s">
        <v>814</v>
      </c>
      <c r="E7" s="106">
        <v>15.5</v>
      </c>
      <c r="F7" s="107">
        <v>888.0</v>
      </c>
      <c r="G7" s="107">
        <v>435.0</v>
      </c>
      <c r="H7" s="108">
        <v>8.796296296296296E-4</v>
      </c>
      <c r="I7" s="109">
        <v>0.9298</v>
      </c>
      <c r="J7" s="110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>
      <c r="A8" s="103" t="s">
        <v>15</v>
      </c>
      <c r="B8" s="104" t="s">
        <v>802</v>
      </c>
      <c r="C8" s="103" t="s">
        <v>815</v>
      </c>
      <c r="D8" s="105" t="s">
        <v>816</v>
      </c>
      <c r="E8" s="106">
        <v>22.5</v>
      </c>
      <c r="F8" s="107">
        <v>298.0</v>
      </c>
      <c r="G8" s="107">
        <v>256.0</v>
      </c>
      <c r="H8" s="108">
        <v>0.0027083333333333334</v>
      </c>
      <c r="I8" s="109">
        <v>0.32</v>
      </c>
      <c r="J8" s="110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>
      <c r="A9" s="103" t="s">
        <v>15</v>
      </c>
      <c r="B9" s="104" t="s">
        <v>802</v>
      </c>
      <c r="C9" s="103" t="s">
        <v>817</v>
      </c>
      <c r="D9" s="105" t="s">
        <v>818</v>
      </c>
      <c r="E9" s="106">
        <v>26.0</v>
      </c>
      <c r="F9" s="107">
        <v>1034.0</v>
      </c>
      <c r="G9" s="107">
        <v>787.0</v>
      </c>
      <c r="H9" s="108">
        <v>0.004664351851851852</v>
      </c>
      <c r="I9" s="109">
        <v>0.525</v>
      </c>
      <c r="J9" s="110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>
      <c r="A10" s="103" t="s">
        <v>15</v>
      </c>
      <c r="B10" s="104" t="s">
        <v>802</v>
      </c>
      <c r="C10" s="103" t="s">
        <v>819</v>
      </c>
      <c r="D10" s="105" t="s">
        <v>820</v>
      </c>
      <c r="E10" s="106">
        <v>18.0</v>
      </c>
      <c r="F10" s="107">
        <v>439.0</v>
      </c>
      <c r="G10" s="107">
        <v>330.0</v>
      </c>
      <c r="H10" s="108">
        <v>0.0028819444444444444</v>
      </c>
      <c r="I10" s="109">
        <v>0.619</v>
      </c>
      <c r="J10" s="110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>
      <c r="A11" s="103" t="s">
        <v>15</v>
      </c>
      <c r="B11" s="104" t="s">
        <v>802</v>
      </c>
      <c r="C11" s="103" t="s">
        <v>821</v>
      </c>
      <c r="D11" s="105" t="s">
        <v>822</v>
      </c>
      <c r="E11" s="106">
        <v>24.0</v>
      </c>
      <c r="F11" s="107">
        <v>439.0</v>
      </c>
      <c r="G11" s="107">
        <v>361.0</v>
      </c>
      <c r="H11" s="108">
        <v>0.0030902777777777777</v>
      </c>
      <c r="I11" s="109">
        <v>0.8</v>
      </c>
      <c r="J11" s="110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>
      <c r="A12" s="103" t="s">
        <v>15</v>
      </c>
      <c r="B12" s="104" t="s">
        <v>205</v>
      </c>
      <c r="C12" s="107" t="s">
        <v>823</v>
      </c>
      <c r="D12" s="105" t="s">
        <v>824</v>
      </c>
      <c r="E12" s="106">
        <v>23.0</v>
      </c>
      <c r="F12" s="107">
        <v>1453.0</v>
      </c>
      <c r="G12" s="107">
        <v>997.0</v>
      </c>
      <c r="H12" s="108">
        <v>0.0021064814814814813</v>
      </c>
      <c r="I12" s="109">
        <v>0.6667</v>
      </c>
      <c r="J12" s="110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>
      <c r="A13" s="103" t="s">
        <v>15</v>
      </c>
      <c r="B13" s="104" t="s">
        <v>205</v>
      </c>
      <c r="C13" s="103" t="s">
        <v>825</v>
      </c>
      <c r="D13" s="105" t="s">
        <v>826</v>
      </c>
      <c r="E13" s="106">
        <v>21.0</v>
      </c>
      <c r="F13" s="107">
        <v>734.0</v>
      </c>
      <c r="G13" s="107">
        <v>431.0</v>
      </c>
      <c r="H13" s="108">
        <v>0.0010648148148148149</v>
      </c>
      <c r="I13" s="109">
        <v>1.0</v>
      </c>
      <c r="J13" s="110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>
      <c r="A14" s="103" t="s">
        <v>15</v>
      </c>
      <c r="B14" s="104" t="s">
        <v>205</v>
      </c>
      <c r="C14" s="103" t="s">
        <v>827</v>
      </c>
      <c r="D14" s="105" t="s">
        <v>828</v>
      </c>
      <c r="E14" s="106">
        <v>19.0</v>
      </c>
      <c r="F14" s="107">
        <v>419.0</v>
      </c>
      <c r="G14" s="107">
        <v>154.0</v>
      </c>
      <c r="H14" s="108">
        <v>0.0017824074074074075</v>
      </c>
      <c r="I14" s="109">
        <v>0.0</v>
      </c>
      <c r="J14" s="110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>
      <c r="A15" s="103" t="s">
        <v>15</v>
      </c>
      <c r="B15" s="104" t="s">
        <v>205</v>
      </c>
      <c r="C15" s="103" t="s">
        <v>829</v>
      </c>
      <c r="D15" s="105" t="s">
        <v>830</v>
      </c>
      <c r="E15" s="106">
        <v>23.0</v>
      </c>
      <c r="F15" s="107">
        <v>605.0</v>
      </c>
      <c r="G15" s="107">
        <v>541.0</v>
      </c>
      <c r="H15" s="108">
        <v>0.0035300925925925925</v>
      </c>
      <c r="I15" s="109">
        <v>0.5758</v>
      </c>
      <c r="J15" s="110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>
      <c r="A16" s="103" t="s">
        <v>15</v>
      </c>
      <c r="B16" s="104" t="s">
        <v>205</v>
      </c>
      <c r="C16" s="103" t="s">
        <v>831</v>
      </c>
      <c r="D16" s="105" t="s">
        <v>832</v>
      </c>
      <c r="E16" s="106">
        <v>24.0</v>
      </c>
      <c r="F16" s="107">
        <v>1345.0</v>
      </c>
      <c r="G16" s="107">
        <v>895.0</v>
      </c>
      <c r="H16" s="108">
        <v>0.003125</v>
      </c>
      <c r="I16" s="109">
        <v>0.2745</v>
      </c>
      <c r="J16" s="110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>
      <c r="A17" s="103" t="s">
        <v>15</v>
      </c>
      <c r="B17" s="104" t="s">
        <v>802</v>
      </c>
      <c r="C17" s="103" t="s">
        <v>833</v>
      </c>
      <c r="D17" s="105" t="s">
        <v>834</v>
      </c>
      <c r="E17" s="106">
        <v>18.0</v>
      </c>
      <c r="F17" s="107">
        <v>594.0</v>
      </c>
      <c r="G17" s="107">
        <v>502.0</v>
      </c>
      <c r="H17" s="108">
        <v>0.006666666666666667</v>
      </c>
      <c r="I17" s="109">
        <v>0.8406</v>
      </c>
      <c r="J17" s="110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>
      <c r="A18" s="103" t="s">
        <v>15</v>
      </c>
      <c r="B18" s="104" t="s">
        <v>205</v>
      </c>
      <c r="C18" s="103" t="s">
        <v>835</v>
      </c>
      <c r="D18" s="105" t="s">
        <v>836</v>
      </c>
      <c r="E18" s="106">
        <v>25.0</v>
      </c>
      <c r="F18" s="107">
        <v>701.0</v>
      </c>
      <c r="G18" s="107">
        <v>395.0</v>
      </c>
      <c r="H18" s="108">
        <v>0.0011805555555555556</v>
      </c>
      <c r="I18" s="109">
        <v>0.4423</v>
      </c>
      <c r="J18" s="110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>
      <c r="A19" s="103" t="s">
        <v>15</v>
      </c>
      <c r="B19" s="105" t="s">
        <v>205</v>
      </c>
      <c r="C19" s="103" t="s">
        <v>837</v>
      </c>
      <c r="D19" s="105" t="s">
        <v>838</v>
      </c>
      <c r="E19" s="106">
        <v>24.5</v>
      </c>
      <c r="F19" s="107">
        <v>905.0</v>
      </c>
      <c r="G19" s="107">
        <v>756.0</v>
      </c>
      <c r="H19" s="108">
        <v>0.00375</v>
      </c>
      <c r="I19" s="109">
        <v>0.4878</v>
      </c>
      <c r="J19" s="110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>
      <c r="A20" s="103" t="s">
        <v>15</v>
      </c>
      <c r="B20" s="105" t="s">
        <v>205</v>
      </c>
      <c r="C20" s="103" t="s">
        <v>839</v>
      </c>
      <c r="D20" s="105" t="s">
        <v>840</v>
      </c>
      <c r="E20" s="106">
        <v>20.0</v>
      </c>
      <c r="F20" s="107">
        <v>448.0</v>
      </c>
      <c r="G20" s="107">
        <v>249.0</v>
      </c>
      <c r="H20" s="108">
        <v>0.0013078703703703703</v>
      </c>
      <c r="I20" s="109">
        <v>0.8235</v>
      </c>
      <c r="J20" s="110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>
      <c r="A21" s="103" t="s">
        <v>15</v>
      </c>
      <c r="B21" s="105" t="s">
        <v>205</v>
      </c>
      <c r="C21" s="103" t="s">
        <v>841</v>
      </c>
      <c r="D21" s="105" t="s">
        <v>842</v>
      </c>
      <c r="E21" s="106">
        <v>16.0</v>
      </c>
      <c r="F21" s="107">
        <v>213.0</v>
      </c>
      <c r="G21" s="107">
        <v>57.0</v>
      </c>
      <c r="H21" s="108">
        <v>0.0011689814814814816</v>
      </c>
      <c r="I21" s="109">
        <v>0.5</v>
      </c>
      <c r="J21" s="110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>
      <c r="A22" s="103" t="s">
        <v>15</v>
      </c>
      <c r="B22" s="105" t="s">
        <v>205</v>
      </c>
      <c r="C22" s="103" t="s">
        <v>843</v>
      </c>
      <c r="D22" s="105" t="s">
        <v>844</v>
      </c>
      <c r="E22" s="106">
        <v>24.0</v>
      </c>
      <c r="F22" s="107">
        <v>1621.0</v>
      </c>
      <c r="G22" s="107">
        <v>1194.0</v>
      </c>
      <c r="H22" s="108">
        <v>7.291666666666667E-4</v>
      </c>
      <c r="I22" s="109">
        <v>1.0</v>
      </c>
      <c r="J22" s="110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>
      <c r="A23" s="103" t="s">
        <v>15</v>
      </c>
      <c r="B23" s="105" t="s">
        <v>205</v>
      </c>
      <c r="C23" s="103" t="s">
        <v>845</v>
      </c>
      <c r="D23" s="105" t="s">
        <v>846</v>
      </c>
      <c r="E23" s="106">
        <v>19.0</v>
      </c>
      <c r="F23" s="107">
        <v>654.0</v>
      </c>
      <c r="G23" s="107">
        <v>375.0</v>
      </c>
      <c r="H23" s="108">
        <v>0.0013657407407407407</v>
      </c>
      <c r="I23" s="109">
        <v>0.2778</v>
      </c>
      <c r="J23" s="110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>
      <c r="A24" s="103" t="s">
        <v>15</v>
      </c>
      <c r="B24" s="105" t="s">
        <v>205</v>
      </c>
      <c r="C24" s="103" t="s">
        <v>847</v>
      </c>
      <c r="D24" s="105" t="s">
        <v>848</v>
      </c>
      <c r="E24" s="106">
        <v>25.0</v>
      </c>
      <c r="F24" s="107">
        <v>1141.0</v>
      </c>
      <c r="G24" s="107">
        <v>1047.0</v>
      </c>
      <c r="H24" s="108">
        <v>0.0038888888888888888</v>
      </c>
      <c r="I24" s="109">
        <v>0.3814</v>
      </c>
      <c r="J24" s="110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>
      <c r="A25" s="107" t="s">
        <v>15</v>
      </c>
      <c r="B25" s="113" t="s">
        <v>849</v>
      </c>
      <c r="C25" s="107" t="s">
        <v>850</v>
      </c>
      <c r="D25" s="113" t="s">
        <v>851</v>
      </c>
      <c r="E25" s="106">
        <v>25.0</v>
      </c>
      <c r="F25" s="107">
        <v>865.0</v>
      </c>
      <c r="G25" s="107">
        <v>637.0</v>
      </c>
      <c r="H25" s="108">
        <v>0.002210648148148148</v>
      </c>
      <c r="I25" s="114">
        <v>0.38</v>
      </c>
      <c r="J25" s="110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>
      <c r="A26" s="107" t="s">
        <v>15</v>
      </c>
      <c r="B26" s="113" t="s">
        <v>852</v>
      </c>
      <c r="C26" s="107" t="s">
        <v>853</v>
      </c>
      <c r="D26" s="113" t="s">
        <v>854</v>
      </c>
      <c r="E26" s="106">
        <v>26.0</v>
      </c>
      <c r="F26" s="107">
        <v>1416.0</v>
      </c>
      <c r="G26" s="107">
        <v>979.0</v>
      </c>
      <c r="H26" s="108">
        <v>0.0016666666666666668</v>
      </c>
      <c r="I26" s="114">
        <v>0.67</v>
      </c>
      <c r="J26" s="110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>
      <c r="A27" s="107" t="s">
        <v>15</v>
      </c>
      <c r="B27" s="113" t="s">
        <v>852</v>
      </c>
      <c r="C27" s="107" t="s">
        <v>855</v>
      </c>
      <c r="D27" s="113" t="s">
        <v>856</v>
      </c>
      <c r="E27" s="106">
        <v>27.0</v>
      </c>
      <c r="F27" s="107">
        <v>1167.0</v>
      </c>
      <c r="G27" s="107">
        <v>807.0</v>
      </c>
      <c r="H27" s="108">
        <v>0.001400462962962963</v>
      </c>
      <c r="I27" s="114">
        <v>0.9</v>
      </c>
      <c r="J27" s="110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>
      <c r="A28" s="107" t="s">
        <v>15</v>
      </c>
      <c r="B28" s="113" t="s">
        <v>852</v>
      </c>
      <c r="C28" s="107" t="s">
        <v>857</v>
      </c>
      <c r="D28" s="113" t="s">
        <v>858</v>
      </c>
      <c r="E28" s="106">
        <v>26.0</v>
      </c>
      <c r="F28" s="107">
        <v>1349.0</v>
      </c>
      <c r="G28" s="107">
        <v>1290.0</v>
      </c>
      <c r="H28" s="108">
        <v>0.004907407407407407</v>
      </c>
      <c r="I28" s="114">
        <v>0.81</v>
      </c>
      <c r="J28" s="110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>
      <c r="A29" s="107" t="s">
        <v>15</v>
      </c>
      <c r="B29" s="113" t="s">
        <v>852</v>
      </c>
      <c r="C29" s="107" t="s">
        <v>859</v>
      </c>
      <c r="D29" s="113" t="s">
        <v>860</v>
      </c>
      <c r="E29" s="106">
        <v>24.0</v>
      </c>
      <c r="F29" s="107">
        <v>1175.0</v>
      </c>
      <c r="G29" s="107">
        <v>832.0</v>
      </c>
      <c r="H29" s="108">
        <v>0.001875</v>
      </c>
      <c r="I29" s="114">
        <v>0.73</v>
      </c>
      <c r="J29" s="110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>
      <c r="A30" s="107" t="s">
        <v>15</v>
      </c>
      <c r="B30" s="113" t="s">
        <v>849</v>
      </c>
      <c r="C30" s="107" t="s">
        <v>861</v>
      </c>
      <c r="D30" s="113" t="s">
        <v>862</v>
      </c>
      <c r="E30" s="106">
        <v>26.5</v>
      </c>
      <c r="F30" s="107">
        <v>1437.0</v>
      </c>
      <c r="G30" s="107">
        <v>1298.0</v>
      </c>
      <c r="H30" s="108">
        <v>0.004594907407407408</v>
      </c>
      <c r="I30" s="114">
        <v>0.86</v>
      </c>
      <c r="J30" s="110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>
      <c r="A31" s="107" t="s">
        <v>15</v>
      </c>
      <c r="B31" s="113" t="s">
        <v>849</v>
      </c>
      <c r="C31" s="107" t="s">
        <v>863</v>
      </c>
      <c r="D31" s="113" t="s">
        <v>864</v>
      </c>
      <c r="E31" s="106">
        <v>27.5</v>
      </c>
      <c r="F31" s="107">
        <v>1556.0</v>
      </c>
      <c r="G31" s="107">
        <v>1112.0</v>
      </c>
      <c r="H31" s="108">
        <v>0.0019097222222222222</v>
      </c>
      <c r="I31" s="114">
        <v>0.53</v>
      </c>
      <c r="J31" s="110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>
      <c r="A32" s="107" t="s">
        <v>15</v>
      </c>
      <c r="B32" s="113" t="s">
        <v>852</v>
      </c>
      <c r="C32" s="107" t="s">
        <v>865</v>
      </c>
      <c r="D32" s="113" t="s">
        <v>866</v>
      </c>
      <c r="E32" s="106">
        <v>27.0</v>
      </c>
      <c r="F32" s="107">
        <v>1206.0</v>
      </c>
      <c r="G32" s="107">
        <v>1011.0</v>
      </c>
      <c r="H32" s="108">
        <v>0.0030555555555555557</v>
      </c>
      <c r="I32" s="114">
        <v>0.91</v>
      </c>
      <c r="J32" s="110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>
      <c r="A33" s="107" t="s">
        <v>15</v>
      </c>
      <c r="B33" s="113" t="s">
        <v>849</v>
      </c>
      <c r="C33" s="107" t="s">
        <v>867</v>
      </c>
      <c r="D33" s="113" t="s">
        <v>868</v>
      </c>
      <c r="E33" s="106">
        <v>26.0</v>
      </c>
      <c r="F33" s="107">
        <v>1411.0</v>
      </c>
      <c r="G33" s="107">
        <v>1306.0</v>
      </c>
      <c r="H33" s="108">
        <v>0.0036342592592592594</v>
      </c>
      <c r="I33" s="114">
        <v>0.87</v>
      </c>
      <c r="J33" s="110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>
      <c r="A34" s="107" t="s">
        <v>15</v>
      </c>
      <c r="B34" s="113" t="s">
        <v>852</v>
      </c>
      <c r="C34" s="107" t="s">
        <v>869</v>
      </c>
      <c r="D34" s="113" t="s">
        <v>870</v>
      </c>
      <c r="E34" s="106">
        <v>25.0</v>
      </c>
      <c r="F34" s="107">
        <v>1144.0</v>
      </c>
      <c r="G34" s="107">
        <v>813.0</v>
      </c>
      <c r="H34" s="108">
        <v>0.0012847222222222223</v>
      </c>
      <c r="I34" s="114">
        <v>0.5</v>
      </c>
      <c r="J34" s="110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>
      <c r="A35" s="107" t="s">
        <v>15</v>
      </c>
      <c r="B35" s="113" t="s">
        <v>852</v>
      </c>
      <c r="C35" s="107" t="s">
        <v>871</v>
      </c>
      <c r="D35" s="113" t="s">
        <v>872</v>
      </c>
      <c r="E35" s="106">
        <v>24.0</v>
      </c>
      <c r="F35" s="107">
        <v>1103.0</v>
      </c>
      <c r="G35" s="107">
        <v>765.0</v>
      </c>
      <c r="H35" s="108">
        <v>0.0010185185185185184</v>
      </c>
      <c r="I35" s="114">
        <v>0.5</v>
      </c>
      <c r="J35" s="110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>
      <c r="A36" s="107" t="s">
        <v>15</v>
      </c>
      <c r="B36" s="113" t="s">
        <v>852</v>
      </c>
      <c r="C36" s="107" t="s">
        <v>873</v>
      </c>
      <c r="D36" s="113" t="s">
        <v>874</v>
      </c>
      <c r="E36" s="106">
        <v>22.0</v>
      </c>
      <c r="F36" s="107">
        <v>1226.0</v>
      </c>
      <c r="G36" s="107">
        <v>851.0</v>
      </c>
      <c r="H36" s="108">
        <v>0.001261574074074074</v>
      </c>
      <c r="I36" s="114">
        <v>0.69</v>
      </c>
      <c r="J36" s="110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>
      <c r="A37" s="107" t="s">
        <v>15</v>
      </c>
      <c r="B37" s="113" t="s">
        <v>852</v>
      </c>
      <c r="C37" s="107" t="s">
        <v>875</v>
      </c>
      <c r="D37" s="113" t="s">
        <v>876</v>
      </c>
      <c r="E37" s="106">
        <v>22.0</v>
      </c>
      <c r="F37" s="107">
        <v>1232.0</v>
      </c>
      <c r="G37" s="107">
        <v>940.0</v>
      </c>
      <c r="H37" s="108">
        <v>0.0036805555555555554</v>
      </c>
      <c r="I37" s="114">
        <v>0.75</v>
      </c>
      <c r="J37" s="110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>
      <c r="A38" s="107" t="s">
        <v>15</v>
      </c>
      <c r="B38" s="113" t="s">
        <v>852</v>
      </c>
      <c r="C38" s="107" t="s">
        <v>877</v>
      </c>
      <c r="D38" s="113" t="s">
        <v>878</v>
      </c>
      <c r="E38" s="106">
        <v>24.0</v>
      </c>
      <c r="F38" s="107">
        <v>1197.0</v>
      </c>
      <c r="G38" s="107">
        <v>846.0</v>
      </c>
      <c r="H38" s="108">
        <v>0.0011805555555555556</v>
      </c>
      <c r="I38" s="114">
        <v>0.63</v>
      </c>
      <c r="J38" s="110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>
      <c r="A39" s="107" t="s">
        <v>15</v>
      </c>
      <c r="B39" s="113" t="s">
        <v>852</v>
      </c>
      <c r="C39" s="107" t="s">
        <v>879</v>
      </c>
      <c r="D39" s="113" t="s">
        <v>880</v>
      </c>
      <c r="E39" s="106">
        <v>24.0</v>
      </c>
      <c r="F39" s="107">
        <v>1401.0</v>
      </c>
      <c r="G39" s="107">
        <v>1266.0</v>
      </c>
      <c r="H39" s="108">
        <v>0.003553240740740741</v>
      </c>
      <c r="I39" s="114">
        <v>0.89</v>
      </c>
      <c r="J39" s="110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>
      <c r="A40" s="107" t="s">
        <v>15</v>
      </c>
      <c r="B40" s="113" t="s">
        <v>849</v>
      </c>
      <c r="C40" s="107" t="s">
        <v>881</v>
      </c>
      <c r="D40" s="113" t="s">
        <v>882</v>
      </c>
      <c r="E40" s="106">
        <v>12.0</v>
      </c>
      <c r="F40" s="107">
        <v>864.0</v>
      </c>
      <c r="G40" s="107">
        <v>489.0</v>
      </c>
      <c r="H40" s="108">
        <v>0.0030902777777777777</v>
      </c>
      <c r="I40" s="114">
        <v>0.85</v>
      </c>
      <c r="J40" s="110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>
      <c r="A41" s="107" t="s">
        <v>15</v>
      </c>
      <c r="B41" s="113" t="s">
        <v>852</v>
      </c>
      <c r="C41" s="107" t="s">
        <v>883</v>
      </c>
      <c r="D41" s="113" t="s">
        <v>884</v>
      </c>
      <c r="E41" s="106">
        <v>25.0</v>
      </c>
      <c r="F41" s="107">
        <v>1344.0</v>
      </c>
      <c r="G41" s="107">
        <v>1109.0</v>
      </c>
      <c r="H41" s="108">
        <v>0.00443287037037037</v>
      </c>
      <c r="I41" s="114">
        <v>0.81</v>
      </c>
      <c r="J41" s="110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>
      <c r="A42" s="107" t="s">
        <v>15</v>
      </c>
      <c r="B42" s="113" t="s">
        <v>852</v>
      </c>
      <c r="C42" s="107" t="s">
        <v>885</v>
      </c>
      <c r="D42" s="113" t="s">
        <v>886</v>
      </c>
      <c r="E42" s="106">
        <v>22.0</v>
      </c>
      <c r="F42" s="107">
        <v>1092.0</v>
      </c>
      <c r="G42" s="107">
        <v>928.0</v>
      </c>
      <c r="H42" s="108">
        <v>0.004166666666666667</v>
      </c>
      <c r="I42" s="114">
        <v>0.87</v>
      </c>
      <c r="J42" s="110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>
      <c r="A43" s="107" t="s">
        <v>15</v>
      </c>
      <c r="B43" s="113" t="s">
        <v>852</v>
      </c>
      <c r="C43" s="107" t="s">
        <v>887</v>
      </c>
      <c r="D43" s="113" t="s">
        <v>888</v>
      </c>
      <c r="E43" s="106">
        <v>24.5</v>
      </c>
      <c r="F43" s="107">
        <v>1501.0</v>
      </c>
      <c r="G43" s="107">
        <v>1276.0</v>
      </c>
      <c r="H43" s="108">
        <v>0.0025694444444444445</v>
      </c>
      <c r="I43" s="114">
        <v>0.88</v>
      </c>
      <c r="J43" s="110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>
      <c r="A44" s="107" t="s">
        <v>15</v>
      </c>
      <c r="B44" s="113" t="s">
        <v>852</v>
      </c>
      <c r="C44" s="107" t="s">
        <v>889</v>
      </c>
      <c r="D44" s="113" t="s">
        <v>890</v>
      </c>
      <c r="E44" s="106">
        <v>20.0</v>
      </c>
      <c r="F44" s="107">
        <v>1311.0</v>
      </c>
      <c r="G44" s="107">
        <v>913.0</v>
      </c>
      <c r="H44" s="108">
        <v>0.0018171296296296297</v>
      </c>
      <c r="I44" s="114">
        <v>0.6</v>
      </c>
      <c r="J44" s="110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>
      <c r="A45" s="107" t="s">
        <v>15</v>
      </c>
      <c r="B45" s="113" t="s">
        <v>852</v>
      </c>
      <c r="C45" s="107" t="s">
        <v>891</v>
      </c>
      <c r="D45" s="113" t="s">
        <v>892</v>
      </c>
      <c r="E45" s="106">
        <v>24.0</v>
      </c>
      <c r="F45" s="107">
        <v>1335.0</v>
      </c>
      <c r="G45" s="107">
        <v>1049.0</v>
      </c>
      <c r="H45" s="108">
        <v>0.003321759259259259</v>
      </c>
      <c r="I45" s="114">
        <v>0.82</v>
      </c>
      <c r="J45" s="110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>
      <c r="A46" s="107" t="s">
        <v>15</v>
      </c>
      <c r="B46" s="113" t="s">
        <v>849</v>
      </c>
      <c r="C46" s="107" t="s">
        <v>893</v>
      </c>
      <c r="D46" s="113" t="s">
        <v>894</v>
      </c>
      <c r="E46" s="106">
        <v>27.0</v>
      </c>
      <c r="F46" s="107">
        <v>1499.0</v>
      </c>
      <c r="G46" s="107">
        <v>1298.0</v>
      </c>
      <c r="H46" s="108">
        <v>0.0043055555555555555</v>
      </c>
      <c r="I46" s="114">
        <v>0.98</v>
      </c>
      <c r="J46" s="110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>
      <c r="A47" s="107" t="s">
        <v>15</v>
      </c>
      <c r="B47" s="113" t="s">
        <v>849</v>
      </c>
      <c r="C47" s="107" t="s">
        <v>895</v>
      </c>
      <c r="D47" s="113" t="s">
        <v>896</v>
      </c>
      <c r="E47" s="106">
        <v>27.0</v>
      </c>
      <c r="F47" s="107">
        <v>1417.0</v>
      </c>
      <c r="G47" s="107">
        <v>1228.0</v>
      </c>
      <c r="H47" s="108">
        <v>0.004537037037037037</v>
      </c>
      <c r="I47" s="114">
        <v>0.97</v>
      </c>
      <c r="J47" s="110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>
      <c r="A48" s="107" t="s">
        <v>15</v>
      </c>
      <c r="B48" s="113" t="s">
        <v>852</v>
      </c>
      <c r="C48" s="107" t="s">
        <v>897</v>
      </c>
      <c r="D48" s="113" t="s">
        <v>898</v>
      </c>
      <c r="E48" s="106">
        <v>24.5</v>
      </c>
      <c r="F48" s="107">
        <v>1052.0</v>
      </c>
      <c r="G48" s="107">
        <v>959.0</v>
      </c>
      <c r="H48" s="108">
        <v>0.004791666666666666</v>
      </c>
      <c r="I48" s="114">
        <v>0.86</v>
      </c>
      <c r="J48" s="110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>
      <c r="A49" s="107" t="s">
        <v>15</v>
      </c>
      <c r="B49" s="113" t="s">
        <v>852</v>
      </c>
      <c r="C49" s="107" t="s">
        <v>899</v>
      </c>
      <c r="D49" s="113" t="s">
        <v>900</v>
      </c>
      <c r="E49" s="106">
        <v>25.0</v>
      </c>
      <c r="F49" s="107">
        <v>1556.0</v>
      </c>
      <c r="G49" s="107">
        <v>1364.0</v>
      </c>
      <c r="H49" s="108">
        <v>0.0033564814814814816</v>
      </c>
      <c r="I49" s="114">
        <v>0.77</v>
      </c>
      <c r="J49" s="110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>
      <c r="A50" s="107" t="s">
        <v>15</v>
      </c>
      <c r="B50" s="113" t="s">
        <v>852</v>
      </c>
      <c r="C50" s="107" t="s">
        <v>901</v>
      </c>
      <c r="D50" s="113" t="s">
        <v>902</v>
      </c>
      <c r="E50" s="106">
        <v>26.0</v>
      </c>
      <c r="F50" s="107">
        <v>1226.0</v>
      </c>
      <c r="G50" s="107">
        <v>1054.0</v>
      </c>
      <c r="H50" s="108">
        <v>0.005</v>
      </c>
      <c r="I50" s="114">
        <v>0.94</v>
      </c>
      <c r="J50" s="110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>
      <c r="A51" s="107" t="s">
        <v>15</v>
      </c>
      <c r="B51" s="113" t="s">
        <v>852</v>
      </c>
      <c r="C51" s="107" t="s">
        <v>903</v>
      </c>
      <c r="D51" s="113" t="s">
        <v>904</v>
      </c>
      <c r="E51" s="106">
        <v>25.0</v>
      </c>
      <c r="F51" s="107">
        <v>1416.0</v>
      </c>
      <c r="G51" s="107">
        <v>958.0</v>
      </c>
      <c r="H51" s="108">
        <v>0.003148148148148148</v>
      </c>
      <c r="I51" s="114">
        <v>0.74</v>
      </c>
      <c r="J51" s="110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>
      <c r="A52" s="107" t="s">
        <v>15</v>
      </c>
      <c r="B52" s="113" t="s">
        <v>852</v>
      </c>
      <c r="C52" s="107" t="s">
        <v>905</v>
      </c>
      <c r="D52" s="113" t="s">
        <v>906</v>
      </c>
      <c r="E52" s="106">
        <v>26.0</v>
      </c>
      <c r="F52" s="107">
        <v>1344.0</v>
      </c>
      <c r="G52" s="107">
        <v>1179.0</v>
      </c>
      <c r="H52" s="108">
        <v>0.004050925925925926</v>
      </c>
      <c r="I52" s="114">
        <v>0.89</v>
      </c>
      <c r="J52" s="110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>
      <c r="A53" s="107" t="s">
        <v>15</v>
      </c>
      <c r="B53" s="113" t="s">
        <v>852</v>
      </c>
      <c r="C53" s="107" t="s">
        <v>907</v>
      </c>
      <c r="D53" s="113" t="s">
        <v>908</v>
      </c>
      <c r="E53" s="106">
        <v>24.0</v>
      </c>
      <c r="F53" s="107">
        <v>1086.0</v>
      </c>
      <c r="G53" s="107">
        <v>728.0</v>
      </c>
      <c r="H53" s="108">
        <v>0.0011574074074074073</v>
      </c>
      <c r="I53" s="114">
        <v>0.83</v>
      </c>
      <c r="J53" s="110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>
      <c r="A54" s="107" t="s">
        <v>15</v>
      </c>
      <c r="B54" s="113" t="s">
        <v>852</v>
      </c>
      <c r="C54" s="107" t="s">
        <v>909</v>
      </c>
      <c r="D54" s="113" t="s">
        <v>910</v>
      </c>
      <c r="E54" s="106">
        <v>25.0</v>
      </c>
      <c r="F54" s="107">
        <v>1385.0</v>
      </c>
      <c r="G54" s="107">
        <v>1275.0</v>
      </c>
      <c r="H54" s="108">
        <v>0.0039004629629629628</v>
      </c>
      <c r="I54" s="114">
        <v>0.72</v>
      </c>
      <c r="J54" s="110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>
      <c r="A55" s="107" t="s">
        <v>15</v>
      </c>
      <c r="B55" s="113" t="s">
        <v>849</v>
      </c>
      <c r="C55" s="107" t="s">
        <v>911</v>
      </c>
      <c r="D55" s="113" t="s">
        <v>912</v>
      </c>
      <c r="E55" s="106">
        <v>25.5</v>
      </c>
      <c r="F55" s="107">
        <v>988.0</v>
      </c>
      <c r="G55" s="107">
        <v>851.0</v>
      </c>
      <c r="H55" s="108">
        <v>0.0029745370370370373</v>
      </c>
      <c r="I55" s="114">
        <v>0.85</v>
      </c>
      <c r="J55" s="110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>
      <c r="A56" s="107" t="s">
        <v>15</v>
      </c>
      <c r="B56" s="113" t="s">
        <v>849</v>
      </c>
      <c r="C56" s="107" t="s">
        <v>913</v>
      </c>
      <c r="D56" s="113" t="s">
        <v>914</v>
      </c>
      <c r="E56" s="106">
        <v>22.0</v>
      </c>
      <c r="F56" s="107">
        <v>922.0</v>
      </c>
      <c r="G56" s="107">
        <v>848.0</v>
      </c>
      <c r="H56" s="108">
        <v>0.0045138888888888885</v>
      </c>
      <c r="I56" s="114">
        <v>0.85</v>
      </c>
      <c r="J56" s="110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>
      <c r="A57" s="107" t="s">
        <v>15</v>
      </c>
      <c r="B57" s="113" t="s">
        <v>849</v>
      </c>
      <c r="C57" s="107" t="s">
        <v>915</v>
      </c>
      <c r="D57" s="113" t="s">
        <v>916</v>
      </c>
      <c r="E57" s="106">
        <v>27.5</v>
      </c>
      <c r="F57" s="107">
        <v>1588.0</v>
      </c>
      <c r="G57" s="107">
        <v>1507.0</v>
      </c>
      <c r="H57" s="108">
        <v>0.003472222222222222</v>
      </c>
      <c r="I57" s="114">
        <v>0.87</v>
      </c>
      <c r="J57" s="110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>
      <c r="A58" s="107" t="s">
        <v>15</v>
      </c>
      <c r="B58" s="113" t="s">
        <v>849</v>
      </c>
      <c r="C58" s="107" t="s">
        <v>917</v>
      </c>
      <c r="D58" s="113" t="s">
        <v>918</v>
      </c>
      <c r="E58" s="106">
        <v>17.5</v>
      </c>
      <c r="F58" s="107">
        <v>791.0</v>
      </c>
      <c r="G58" s="107">
        <v>700.0</v>
      </c>
      <c r="H58" s="108">
        <v>0.005104166666666667</v>
      </c>
      <c r="I58" s="114">
        <v>0.82</v>
      </c>
      <c r="J58" s="110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>
      <c r="A59" s="107" t="s">
        <v>15</v>
      </c>
      <c r="B59" s="113" t="s">
        <v>849</v>
      </c>
      <c r="C59" s="107" t="s">
        <v>919</v>
      </c>
      <c r="D59" s="113" t="s">
        <v>920</v>
      </c>
      <c r="E59" s="106">
        <v>24.0</v>
      </c>
      <c r="F59" s="107">
        <v>1294.0</v>
      </c>
      <c r="G59" s="107">
        <v>1121.0</v>
      </c>
      <c r="H59" s="108">
        <v>0.0038194444444444443</v>
      </c>
      <c r="I59" s="114">
        <v>0.73</v>
      </c>
      <c r="J59" s="110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>
      <c r="A60" s="107" t="s">
        <v>15</v>
      </c>
      <c r="B60" s="113" t="s">
        <v>849</v>
      </c>
      <c r="C60" s="107" t="s">
        <v>921</v>
      </c>
      <c r="D60" s="113" t="s">
        <v>922</v>
      </c>
      <c r="E60" s="106">
        <v>24.5</v>
      </c>
      <c r="F60" s="107">
        <v>1373.0</v>
      </c>
      <c r="G60" s="107">
        <v>1302.0</v>
      </c>
      <c r="H60" s="108">
        <v>0.004050925925925926</v>
      </c>
      <c r="I60" s="114">
        <v>0.85</v>
      </c>
      <c r="J60" s="110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>
      <c r="A61" s="107" t="s">
        <v>15</v>
      </c>
      <c r="B61" s="113" t="s">
        <v>849</v>
      </c>
      <c r="C61" s="107" t="s">
        <v>923</v>
      </c>
      <c r="D61" s="113" t="s">
        <v>924</v>
      </c>
      <c r="E61" s="106">
        <v>26.0</v>
      </c>
      <c r="F61" s="107">
        <v>1374.0</v>
      </c>
      <c r="G61" s="107">
        <v>1109.0</v>
      </c>
      <c r="H61" s="108">
        <v>0.00375</v>
      </c>
      <c r="I61" s="114">
        <v>0.83</v>
      </c>
      <c r="J61" s="110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>
      <c r="A62" s="107" t="s">
        <v>15</v>
      </c>
      <c r="B62" s="113" t="s">
        <v>849</v>
      </c>
      <c r="C62" s="107" t="s">
        <v>925</v>
      </c>
      <c r="D62" s="113" t="s">
        <v>926</v>
      </c>
      <c r="E62" s="106">
        <v>22.5</v>
      </c>
      <c r="F62" s="107">
        <v>914.0</v>
      </c>
      <c r="G62" s="107">
        <v>817.0</v>
      </c>
      <c r="H62" s="108">
        <v>0.005381944444444444</v>
      </c>
      <c r="I62" s="114">
        <v>0.8</v>
      </c>
      <c r="J62" s="110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>
      <c r="A63" s="107" t="s">
        <v>15</v>
      </c>
      <c r="B63" s="113" t="s">
        <v>849</v>
      </c>
      <c r="C63" s="107" t="s">
        <v>927</v>
      </c>
      <c r="D63" s="113" t="s">
        <v>928</v>
      </c>
      <c r="E63" s="106">
        <v>26.5</v>
      </c>
      <c r="F63" s="107">
        <v>1550.0</v>
      </c>
      <c r="G63" s="107">
        <v>1477.0</v>
      </c>
      <c r="H63" s="108">
        <v>0.003414351851851852</v>
      </c>
      <c r="I63" s="114">
        <v>0.92</v>
      </c>
      <c r="J63" s="110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>
      <c r="A64" s="107" t="s">
        <v>15</v>
      </c>
      <c r="B64" s="113" t="s">
        <v>849</v>
      </c>
      <c r="C64" s="107" t="s">
        <v>929</v>
      </c>
      <c r="D64" s="113" t="s">
        <v>930</v>
      </c>
      <c r="E64" s="106">
        <v>24.0</v>
      </c>
      <c r="F64" s="107">
        <v>1334.0</v>
      </c>
      <c r="G64" s="107">
        <v>1144.0</v>
      </c>
      <c r="H64" s="108">
        <v>0.003912037037037037</v>
      </c>
      <c r="I64" s="114">
        <v>0.77</v>
      </c>
      <c r="J64" s="110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>
      <c r="A65" s="107" t="s">
        <v>15</v>
      </c>
      <c r="B65" s="113" t="s">
        <v>852</v>
      </c>
      <c r="C65" s="107" t="s">
        <v>931</v>
      </c>
      <c r="D65" s="113" t="s">
        <v>932</v>
      </c>
      <c r="E65" s="106">
        <v>24.5</v>
      </c>
      <c r="F65" s="107">
        <v>1353.0</v>
      </c>
      <c r="G65" s="107">
        <v>1152.0</v>
      </c>
      <c r="H65" s="108">
        <v>0.004178240740740741</v>
      </c>
      <c r="I65" s="114">
        <v>0.89</v>
      </c>
      <c r="J65" s="110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>
      <c r="A66" s="107" t="s">
        <v>15</v>
      </c>
      <c r="B66" s="113" t="s">
        <v>849</v>
      </c>
      <c r="C66" s="107" t="s">
        <v>933</v>
      </c>
      <c r="D66" s="113" t="s">
        <v>934</v>
      </c>
      <c r="E66" s="106">
        <v>20.0</v>
      </c>
      <c r="F66" s="107">
        <v>941.0</v>
      </c>
      <c r="G66" s="107">
        <v>886.0</v>
      </c>
      <c r="H66" s="108">
        <v>0.0038541666666666668</v>
      </c>
      <c r="I66" s="114">
        <v>0.83</v>
      </c>
      <c r="J66" s="110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>
      <c r="A67" s="107" t="s">
        <v>15</v>
      </c>
      <c r="B67" s="113" t="s">
        <v>849</v>
      </c>
      <c r="C67" s="107" t="s">
        <v>935</v>
      </c>
      <c r="D67" s="113" t="s">
        <v>936</v>
      </c>
      <c r="E67" s="106">
        <v>2.0</v>
      </c>
      <c r="F67" s="107">
        <v>76.0</v>
      </c>
      <c r="G67" s="107">
        <v>60.0</v>
      </c>
      <c r="H67" s="108">
        <v>0.004502314814814815</v>
      </c>
      <c r="I67" s="114">
        <v>0.67</v>
      </c>
      <c r="J67" s="110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>
      <c r="A68" s="107" t="s">
        <v>15</v>
      </c>
      <c r="B68" s="113" t="s">
        <v>852</v>
      </c>
      <c r="C68" s="107" t="s">
        <v>937</v>
      </c>
      <c r="D68" s="113" t="s">
        <v>938</v>
      </c>
      <c r="E68" s="106">
        <v>19.0</v>
      </c>
      <c r="F68" s="107">
        <v>1242.0</v>
      </c>
      <c r="G68" s="107">
        <v>1146.0</v>
      </c>
      <c r="H68" s="108">
        <v>0.003159722222222222</v>
      </c>
      <c r="I68" s="114">
        <v>0.84</v>
      </c>
      <c r="J68" s="110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>
      <c r="A69" s="107" t="s">
        <v>15</v>
      </c>
      <c r="B69" s="113" t="s">
        <v>852</v>
      </c>
      <c r="C69" s="107" t="s">
        <v>939</v>
      </c>
      <c r="D69" s="113" t="s">
        <v>940</v>
      </c>
      <c r="E69" s="106">
        <v>24.0</v>
      </c>
      <c r="F69" s="107">
        <v>953.0</v>
      </c>
      <c r="G69" s="107">
        <v>893.0</v>
      </c>
      <c r="H69" s="108">
        <v>0.0060648148148148145</v>
      </c>
      <c r="I69" s="114">
        <v>0.91</v>
      </c>
      <c r="J69" s="110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>
      <c r="A70" s="107" t="s">
        <v>15</v>
      </c>
      <c r="B70" s="113" t="s">
        <v>849</v>
      </c>
      <c r="C70" s="107" t="s">
        <v>941</v>
      </c>
      <c r="D70" s="113" t="s">
        <v>942</v>
      </c>
      <c r="E70" s="106">
        <v>5.5</v>
      </c>
      <c r="F70" s="107">
        <v>137.0</v>
      </c>
      <c r="G70" s="107">
        <v>132.0</v>
      </c>
      <c r="H70" s="108">
        <v>0.006458333333333333</v>
      </c>
      <c r="I70" s="114">
        <v>0.84</v>
      </c>
      <c r="J70" s="110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>
      <c r="A71" s="107" t="s">
        <v>15</v>
      </c>
      <c r="B71" s="113" t="s">
        <v>849</v>
      </c>
      <c r="C71" s="107" t="s">
        <v>943</v>
      </c>
      <c r="D71" s="113" t="s">
        <v>944</v>
      </c>
      <c r="E71" s="106">
        <v>25.5</v>
      </c>
      <c r="F71" s="107">
        <v>1441.0</v>
      </c>
      <c r="G71" s="107">
        <v>1338.0</v>
      </c>
      <c r="H71" s="108">
        <v>0.004178240740740741</v>
      </c>
      <c r="I71" s="114">
        <v>0.62</v>
      </c>
      <c r="J71" s="110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>
      <c r="A72" s="107" t="s">
        <v>15</v>
      </c>
      <c r="B72" s="113" t="s">
        <v>852</v>
      </c>
      <c r="C72" s="107" t="s">
        <v>945</v>
      </c>
      <c r="D72" s="113" t="s">
        <v>946</v>
      </c>
      <c r="E72" s="106">
        <v>24.5</v>
      </c>
      <c r="F72" s="107">
        <v>1058.0</v>
      </c>
      <c r="G72" s="107">
        <v>995.0</v>
      </c>
      <c r="H72" s="108">
        <v>0.005659722222222222</v>
      </c>
      <c r="I72" s="114">
        <v>0.71</v>
      </c>
      <c r="J72" s="110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>
      <c r="A73" s="107" t="s">
        <v>15</v>
      </c>
      <c r="B73" s="113" t="s">
        <v>852</v>
      </c>
      <c r="C73" s="107" t="s">
        <v>947</v>
      </c>
      <c r="D73" s="113" t="s">
        <v>948</v>
      </c>
      <c r="E73" s="106">
        <v>20.5</v>
      </c>
      <c r="F73" s="107">
        <v>869.0</v>
      </c>
      <c r="G73" s="107">
        <v>814.0</v>
      </c>
      <c r="H73" s="108">
        <v>0.004386574074074074</v>
      </c>
      <c r="I73" s="114">
        <v>0.78</v>
      </c>
      <c r="J73" s="110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>
      <c r="A74" s="107" t="s">
        <v>15</v>
      </c>
      <c r="B74" s="113" t="s">
        <v>852</v>
      </c>
      <c r="C74" s="107" t="s">
        <v>949</v>
      </c>
      <c r="D74" s="113" t="s">
        <v>950</v>
      </c>
      <c r="E74" s="106">
        <v>25.0</v>
      </c>
      <c r="F74" s="107">
        <v>1661.0</v>
      </c>
      <c r="G74" s="107">
        <v>1602.0</v>
      </c>
      <c r="H74" s="108">
        <v>0.0030208333333333333</v>
      </c>
      <c r="I74" s="114">
        <v>0.8</v>
      </c>
      <c r="J74" s="110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>
      <c r="A75" s="107" t="s">
        <v>15</v>
      </c>
      <c r="B75" s="113" t="s">
        <v>849</v>
      </c>
      <c r="C75" s="107" t="s">
        <v>951</v>
      </c>
      <c r="D75" s="113" t="s">
        <v>952</v>
      </c>
      <c r="E75" s="106">
        <v>26.0</v>
      </c>
      <c r="F75" s="107">
        <v>1495.0</v>
      </c>
      <c r="G75" s="107">
        <v>1391.0</v>
      </c>
      <c r="H75" s="108">
        <v>0.0031134259259259257</v>
      </c>
      <c r="I75" s="114">
        <v>0.86</v>
      </c>
      <c r="J75" s="110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>
      <c r="A76" s="107" t="s">
        <v>15</v>
      </c>
      <c r="B76" s="113" t="s">
        <v>849</v>
      </c>
      <c r="C76" s="107" t="s">
        <v>953</v>
      </c>
      <c r="D76" s="113" t="s">
        <v>954</v>
      </c>
      <c r="E76" s="106">
        <v>29.0</v>
      </c>
      <c r="F76" s="107">
        <v>1669.0</v>
      </c>
      <c r="G76" s="107">
        <v>1581.0</v>
      </c>
      <c r="H76" s="108">
        <v>0.0036342592592592594</v>
      </c>
      <c r="I76" s="114">
        <v>0.78</v>
      </c>
      <c r="J76" s="110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>
      <c r="A77" s="107" t="s">
        <v>15</v>
      </c>
      <c r="B77" s="113" t="s">
        <v>849</v>
      </c>
      <c r="C77" s="107" t="s">
        <v>955</v>
      </c>
      <c r="D77" s="113" t="s">
        <v>956</v>
      </c>
      <c r="E77" s="106">
        <v>26.5</v>
      </c>
      <c r="F77" s="107">
        <v>1359.0</v>
      </c>
      <c r="G77" s="107">
        <v>1258.0</v>
      </c>
      <c r="H77" s="108">
        <v>0.00474537037037037</v>
      </c>
      <c r="I77" s="114">
        <v>0.69</v>
      </c>
      <c r="J77" s="110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>
      <c r="A78" s="107" t="s">
        <v>15</v>
      </c>
      <c r="B78" s="113" t="s">
        <v>849</v>
      </c>
      <c r="C78" s="107" t="s">
        <v>957</v>
      </c>
      <c r="D78" s="113" t="s">
        <v>958</v>
      </c>
      <c r="E78" s="106">
        <v>25.0</v>
      </c>
      <c r="F78" s="107">
        <v>1256.0</v>
      </c>
      <c r="G78" s="107">
        <v>1100.0</v>
      </c>
      <c r="H78" s="108">
        <v>0.004363425925925926</v>
      </c>
      <c r="I78" s="114">
        <v>0.67</v>
      </c>
      <c r="J78" s="110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>
      <c r="A79" s="107" t="s">
        <v>15</v>
      </c>
      <c r="B79" s="113" t="s">
        <v>852</v>
      </c>
      <c r="C79" s="107" t="s">
        <v>959</v>
      </c>
      <c r="D79" s="113" t="s">
        <v>960</v>
      </c>
      <c r="E79" s="106">
        <v>24.0</v>
      </c>
      <c r="F79" s="107">
        <v>1285.0</v>
      </c>
      <c r="G79" s="107">
        <v>1205.0</v>
      </c>
      <c r="H79" s="108">
        <v>0.003958333333333334</v>
      </c>
      <c r="I79" s="114">
        <v>0.87</v>
      </c>
      <c r="J79" s="110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>
      <c r="A80" s="107" t="s">
        <v>15</v>
      </c>
      <c r="B80" s="113" t="s">
        <v>849</v>
      </c>
      <c r="C80" s="107" t="s">
        <v>961</v>
      </c>
      <c r="D80" s="113" t="s">
        <v>962</v>
      </c>
      <c r="E80" s="106">
        <v>5.0</v>
      </c>
      <c r="F80" s="107">
        <v>210.0</v>
      </c>
      <c r="G80" s="107">
        <v>206.0</v>
      </c>
      <c r="H80" s="108">
        <v>0.004872685185185185</v>
      </c>
      <c r="I80" s="114">
        <v>0.14</v>
      </c>
      <c r="J80" s="110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>
      <c r="A81" s="107" t="s">
        <v>15</v>
      </c>
      <c r="B81" s="113" t="s">
        <v>849</v>
      </c>
      <c r="C81" s="107" t="s">
        <v>963</v>
      </c>
      <c r="D81" s="113" t="s">
        <v>964</v>
      </c>
      <c r="E81" s="106">
        <v>25.5</v>
      </c>
      <c r="F81" s="107">
        <v>1416.0</v>
      </c>
      <c r="G81" s="107">
        <v>1326.0</v>
      </c>
      <c r="H81" s="108">
        <v>0.004652777777777777</v>
      </c>
      <c r="I81" s="114">
        <v>0.85</v>
      </c>
      <c r="J81" s="110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>
      <c r="A82" s="107" t="s">
        <v>15</v>
      </c>
      <c r="B82" s="113" t="s">
        <v>849</v>
      </c>
      <c r="C82" s="107" t="s">
        <v>965</v>
      </c>
      <c r="D82" s="113" t="s">
        <v>966</v>
      </c>
      <c r="E82" s="106">
        <v>25.0</v>
      </c>
      <c r="F82" s="107">
        <v>1382.0</v>
      </c>
      <c r="G82" s="107">
        <v>1269.0</v>
      </c>
      <c r="H82" s="108">
        <v>0.005069444444444444</v>
      </c>
      <c r="I82" s="114">
        <v>0.92</v>
      </c>
      <c r="J82" s="110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>
      <c r="A83" s="107" t="s">
        <v>15</v>
      </c>
      <c r="B83" s="113" t="s">
        <v>852</v>
      </c>
      <c r="C83" s="107" t="s">
        <v>967</v>
      </c>
      <c r="D83" s="113" t="s">
        <v>968</v>
      </c>
      <c r="E83" s="106">
        <v>23.0</v>
      </c>
      <c r="F83" s="107">
        <v>1435.0</v>
      </c>
      <c r="G83" s="107">
        <v>1310.0</v>
      </c>
      <c r="H83" s="108">
        <v>0.003263888888888889</v>
      </c>
      <c r="I83" s="114">
        <v>0.71</v>
      </c>
      <c r="J83" s="110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>
      <c r="A84" s="103" t="s">
        <v>969</v>
      </c>
      <c r="B84" s="104" t="s">
        <v>802</v>
      </c>
      <c r="C84" s="103" t="s">
        <v>970</v>
      </c>
      <c r="D84" s="105" t="s">
        <v>971</v>
      </c>
      <c r="E84" s="106">
        <v>21.5</v>
      </c>
      <c r="F84" s="107">
        <v>1301.0</v>
      </c>
      <c r="G84" s="107">
        <v>1084.0</v>
      </c>
      <c r="H84" s="108">
        <v>0.0026157407407407405</v>
      </c>
      <c r="I84" s="109">
        <v>-0.1094</v>
      </c>
      <c r="J84" s="110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>
      <c r="A85" s="103" t="s">
        <v>969</v>
      </c>
      <c r="B85" s="104" t="s">
        <v>802</v>
      </c>
      <c r="C85" s="103" t="s">
        <v>972</v>
      </c>
      <c r="D85" s="105" t="s">
        <v>973</v>
      </c>
      <c r="E85" s="106">
        <v>25.0</v>
      </c>
      <c r="F85" s="107">
        <v>1268.0</v>
      </c>
      <c r="G85" s="107">
        <v>1072.0</v>
      </c>
      <c r="H85" s="108">
        <v>0.0033564814814814816</v>
      </c>
      <c r="I85" s="109">
        <v>0.2982</v>
      </c>
      <c r="J85" s="110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>
      <c r="A86" s="103" t="s">
        <v>969</v>
      </c>
      <c r="B86" s="104" t="s">
        <v>802</v>
      </c>
      <c r="C86" s="103" t="s">
        <v>974</v>
      </c>
      <c r="D86" s="105" t="s">
        <v>975</v>
      </c>
      <c r="E86" s="106">
        <v>25.0</v>
      </c>
      <c r="F86" s="107">
        <v>772.0</v>
      </c>
      <c r="G86" s="107">
        <v>672.0</v>
      </c>
      <c r="H86" s="108">
        <v>0.005023148148148148</v>
      </c>
      <c r="I86" s="109">
        <v>0.9024</v>
      </c>
      <c r="J86" s="110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>
      <c r="A87" s="103" t="s">
        <v>969</v>
      </c>
      <c r="B87" s="104" t="s">
        <v>802</v>
      </c>
      <c r="C87" s="103" t="s">
        <v>976</v>
      </c>
      <c r="D87" s="105" t="s">
        <v>977</v>
      </c>
      <c r="E87" s="106">
        <v>16.0</v>
      </c>
      <c r="F87" s="107">
        <v>383.0</v>
      </c>
      <c r="G87" s="107">
        <v>330.0</v>
      </c>
      <c r="H87" s="108">
        <v>0.003472222222222222</v>
      </c>
      <c r="I87" s="109">
        <v>0.5</v>
      </c>
      <c r="J87" s="110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>
      <c r="A88" s="103" t="s">
        <v>969</v>
      </c>
      <c r="B88" s="104" t="s">
        <v>802</v>
      </c>
      <c r="C88" s="103" t="s">
        <v>978</v>
      </c>
      <c r="D88" s="105" t="s">
        <v>979</v>
      </c>
      <c r="E88" s="106">
        <v>22.0</v>
      </c>
      <c r="F88" s="107">
        <v>395.0</v>
      </c>
      <c r="G88" s="107">
        <v>320.0</v>
      </c>
      <c r="H88" s="108">
        <v>0.0034837962962962965</v>
      </c>
      <c r="I88" s="109">
        <v>0.7778</v>
      </c>
      <c r="J88" s="110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>
      <c r="A89" s="103" t="s">
        <v>969</v>
      </c>
      <c r="B89" s="104" t="s">
        <v>802</v>
      </c>
      <c r="C89" s="103" t="s">
        <v>980</v>
      </c>
      <c r="D89" s="105" t="s">
        <v>981</v>
      </c>
      <c r="E89" s="106">
        <v>22.0</v>
      </c>
      <c r="F89" s="107">
        <v>1387.0</v>
      </c>
      <c r="G89" s="107">
        <v>719.0</v>
      </c>
      <c r="H89" s="108">
        <v>0.0033680555555555556</v>
      </c>
      <c r="I89" s="109">
        <v>0.7368</v>
      </c>
      <c r="J89" s="110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>
      <c r="A90" s="103" t="s">
        <v>969</v>
      </c>
      <c r="B90" s="104" t="s">
        <v>802</v>
      </c>
      <c r="C90" s="103" t="s">
        <v>982</v>
      </c>
      <c r="D90" s="105" t="s">
        <v>983</v>
      </c>
      <c r="E90" s="106">
        <v>23.0</v>
      </c>
      <c r="F90" s="107">
        <v>733.0</v>
      </c>
      <c r="G90" s="107">
        <v>463.0</v>
      </c>
      <c r="H90" s="108">
        <v>0.005740740740740741</v>
      </c>
      <c r="I90" s="109">
        <v>0.15</v>
      </c>
      <c r="J90" s="110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>
      <c r="A91" s="103" t="s">
        <v>969</v>
      </c>
      <c r="B91" s="104" t="s">
        <v>802</v>
      </c>
      <c r="C91" s="103" t="s">
        <v>984</v>
      </c>
      <c r="D91" s="105" t="s">
        <v>985</v>
      </c>
      <c r="E91" s="106">
        <v>24.0</v>
      </c>
      <c r="F91" s="107">
        <v>955.0</v>
      </c>
      <c r="G91" s="107">
        <v>888.0</v>
      </c>
      <c r="H91" s="108">
        <v>0.004155092592592592</v>
      </c>
      <c r="I91" s="109">
        <v>0.6912</v>
      </c>
      <c r="J91" s="110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>
      <c r="A92" s="103" t="s">
        <v>969</v>
      </c>
      <c r="B92" s="104" t="s">
        <v>802</v>
      </c>
      <c r="C92" s="103" t="s">
        <v>986</v>
      </c>
      <c r="D92" s="105" t="s">
        <v>987</v>
      </c>
      <c r="E92" s="106">
        <v>22.5</v>
      </c>
      <c r="F92" s="107">
        <v>636.0</v>
      </c>
      <c r="G92" s="107">
        <v>487.0</v>
      </c>
      <c r="H92" s="108">
        <v>0.0034837962962962965</v>
      </c>
      <c r="I92" s="109">
        <v>0.3333</v>
      </c>
      <c r="J92" s="110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>
      <c r="A93" s="103" t="s">
        <v>969</v>
      </c>
      <c r="B93" s="104" t="s">
        <v>802</v>
      </c>
      <c r="C93" s="103" t="s">
        <v>988</v>
      </c>
      <c r="D93" s="105" t="s">
        <v>989</v>
      </c>
      <c r="E93" s="106">
        <v>23.0</v>
      </c>
      <c r="F93" s="107">
        <v>713.0</v>
      </c>
      <c r="G93" s="107">
        <v>535.0</v>
      </c>
      <c r="H93" s="108">
        <v>0.0028703703703703703</v>
      </c>
      <c r="I93" s="109">
        <v>0.5472</v>
      </c>
      <c r="J93" s="110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>
      <c r="A94" s="103" t="s">
        <v>969</v>
      </c>
      <c r="B94" s="104" t="s">
        <v>802</v>
      </c>
      <c r="C94" s="103" t="s">
        <v>990</v>
      </c>
      <c r="D94" s="105" t="s">
        <v>991</v>
      </c>
      <c r="E94" s="106">
        <v>23.0</v>
      </c>
      <c r="F94" s="107">
        <v>954.0</v>
      </c>
      <c r="G94" s="107">
        <v>579.0</v>
      </c>
      <c r="H94" s="108">
        <v>0.00443287037037037</v>
      </c>
      <c r="I94" s="109">
        <v>0.7419</v>
      </c>
      <c r="J94" s="110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>
      <c r="A95" s="103" t="s">
        <v>969</v>
      </c>
      <c r="B95" s="104" t="s">
        <v>802</v>
      </c>
      <c r="C95" s="103" t="s">
        <v>992</v>
      </c>
      <c r="D95" s="105" t="s">
        <v>993</v>
      </c>
      <c r="E95" s="106">
        <v>22.0</v>
      </c>
      <c r="F95" s="107">
        <v>1393.0</v>
      </c>
      <c r="G95" s="107">
        <v>578.0</v>
      </c>
      <c r="H95" s="108">
        <v>0.004386574074074074</v>
      </c>
      <c r="I95" s="109">
        <v>0.7222</v>
      </c>
      <c r="J95" s="110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>
      <c r="A96" s="103" t="s">
        <v>969</v>
      </c>
      <c r="B96" s="104" t="s">
        <v>802</v>
      </c>
      <c r="C96" s="103" t="s">
        <v>994</v>
      </c>
      <c r="D96" s="105" t="s">
        <v>995</v>
      </c>
      <c r="E96" s="106">
        <v>19.0</v>
      </c>
      <c r="F96" s="107">
        <v>857.0</v>
      </c>
      <c r="G96" s="107">
        <v>463.0</v>
      </c>
      <c r="H96" s="108">
        <v>0.004675925925925926</v>
      </c>
      <c r="I96" s="109">
        <v>0.8378</v>
      </c>
      <c r="J96" s="110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>
      <c r="A97" s="103" t="s">
        <v>969</v>
      </c>
      <c r="B97" s="104" t="s">
        <v>802</v>
      </c>
      <c r="C97" s="103" t="s">
        <v>996</v>
      </c>
      <c r="D97" s="105" t="s">
        <v>997</v>
      </c>
      <c r="E97" s="106">
        <v>20.0</v>
      </c>
      <c r="F97" s="107">
        <v>828.0</v>
      </c>
      <c r="G97" s="107">
        <v>707.0</v>
      </c>
      <c r="H97" s="108">
        <v>0.0029745370370370373</v>
      </c>
      <c r="I97" s="109">
        <v>0.1818</v>
      </c>
      <c r="J97" s="110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>
      <c r="A98" s="103" t="s">
        <v>969</v>
      </c>
      <c r="B98" s="104" t="s">
        <v>802</v>
      </c>
      <c r="C98" s="103" t="s">
        <v>998</v>
      </c>
      <c r="D98" s="105" t="s">
        <v>999</v>
      </c>
      <c r="E98" s="106">
        <v>24.0</v>
      </c>
      <c r="F98" s="107">
        <v>977.0</v>
      </c>
      <c r="G98" s="107">
        <v>781.0</v>
      </c>
      <c r="H98" s="108">
        <v>0.003414351851851852</v>
      </c>
      <c r="I98" s="109">
        <v>0.2</v>
      </c>
      <c r="J98" s="110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>
      <c r="A99" s="103" t="s">
        <v>969</v>
      </c>
      <c r="B99" s="104" t="s">
        <v>802</v>
      </c>
      <c r="C99" s="103" t="s">
        <v>1000</v>
      </c>
      <c r="D99" s="105" t="s">
        <v>1001</v>
      </c>
      <c r="E99" s="106">
        <v>22.5</v>
      </c>
      <c r="F99" s="107">
        <v>759.0</v>
      </c>
      <c r="G99" s="107">
        <v>568.0</v>
      </c>
      <c r="H99" s="108">
        <v>0.004085648148148148</v>
      </c>
      <c r="I99" s="109">
        <v>0.6667</v>
      </c>
      <c r="J99" s="110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>
      <c r="A100" s="103" t="s">
        <v>969</v>
      </c>
      <c r="B100" s="104" t="s">
        <v>802</v>
      </c>
      <c r="C100" s="103" t="s">
        <v>1002</v>
      </c>
      <c r="D100" s="105" t="s">
        <v>1003</v>
      </c>
      <c r="E100" s="106">
        <v>24.0</v>
      </c>
      <c r="F100" s="107">
        <v>1334.0</v>
      </c>
      <c r="G100" s="107">
        <v>1196.0</v>
      </c>
      <c r="H100" s="108">
        <v>0.003159722222222222</v>
      </c>
      <c r="I100" s="109">
        <v>0.527</v>
      </c>
      <c r="J100" s="110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>
      <c r="A101" s="103" t="s">
        <v>969</v>
      </c>
      <c r="B101" s="104" t="s">
        <v>802</v>
      </c>
      <c r="C101" s="103" t="s">
        <v>1004</v>
      </c>
      <c r="D101" s="105" t="s">
        <v>1005</v>
      </c>
      <c r="E101" s="106">
        <v>21.0</v>
      </c>
      <c r="F101" s="107">
        <v>670.0</v>
      </c>
      <c r="G101" s="107">
        <v>546.0</v>
      </c>
      <c r="H101" s="108">
        <v>0.004768518518518518</v>
      </c>
      <c r="I101" s="109">
        <v>0.2857</v>
      </c>
      <c r="J101" s="110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>
      <c r="A102" s="103" t="s">
        <v>969</v>
      </c>
      <c r="B102" s="104" t="s">
        <v>1006</v>
      </c>
      <c r="C102" s="103" t="s">
        <v>1007</v>
      </c>
      <c r="D102" s="105" t="s">
        <v>1008</v>
      </c>
      <c r="E102" s="106">
        <v>21.5</v>
      </c>
      <c r="F102" s="107">
        <v>932.0</v>
      </c>
      <c r="G102" s="107">
        <v>656.0</v>
      </c>
      <c r="H102" s="108">
        <v>0.002766203703703704</v>
      </c>
      <c r="I102" s="109">
        <v>0.08</v>
      </c>
      <c r="J102" s="110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>
      <c r="A103" s="103" t="s">
        <v>969</v>
      </c>
      <c r="B103" s="104" t="s">
        <v>1006</v>
      </c>
      <c r="C103" s="107" t="s">
        <v>1009</v>
      </c>
      <c r="D103" s="105" t="s">
        <v>1010</v>
      </c>
      <c r="E103" s="106">
        <v>12.0</v>
      </c>
      <c r="F103" s="107">
        <v>178.0</v>
      </c>
      <c r="G103" s="107">
        <v>163.0</v>
      </c>
      <c r="H103" s="108">
        <v>0.004166666666666667</v>
      </c>
      <c r="I103" s="109">
        <v>0.75</v>
      </c>
      <c r="J103" s="110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>
      <c r="A104" s="103" t="s">
        <v>969</v>
      </c>
      <c r="B104" s="104" t="s">
        <v>1006</v>
      </c>
      <c r="C104" s="103" t="s">
        <v>1011</v>
      </c>
      <c r="D104" s="105" t="s">
        <v>1012</v>
      </c>
      <c r="E104" s="106">
        <v>23.0</v>
      </c>
      <c r="F104" s="107">
        <v>575.0</v>
      </c>
      <c r="G104" s="107">
        <v>410.0</v>
      </c>
      <c r="H104" s="108">
        <v>0.004803240740740741</v>
      </c>
      <c r="I104" s="109">
        <v>0.9355</v>
      </c>
      <c r="J104" s="110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>
      <c r="A105" s="103" t="s">
        <v>969</v>
      </c>
      <c r="B105" s="104" t="s">
        <v>1006</v>
      </c>
      <c r="C105" s="103" t="s">
        <v>1013</v>
      </c>
      <c r="D105" s="105" t="s">
        <v>1014</v>
      </c>
      <c r="E105" s="106">
        <v>23.0</v>
      </c>
      <c r="F105" s="107">
        <v>748.0</v>
      </c>
      <c r="G105" s="107">
        <v>575.0</v>
      </c>
      <c r="H105" s="108">
        <v>0.0034375</v>
      </c>
      <c r="I105" s="109">
        <v>0.7778</v>
      </c>
      <c r="J105" s="110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>
      <c r="A106" s="103" t="s">
        <v>969</v>
      </c>
      <c r="B106" s="104" t="s">
        <v>1006</v>
      </c>
      <c r="C106" s="103" t="s">
        <v>1015</v>
      </c>
      <c r="D106" s="105" t="s">
        <v>1016</v>
      </c>
      <c r="E106" s="106">
        <v>16.0</v>
      </c>
      <c r="F106" s="107">
        <v>257.0</v>
      </c>
      <c r="G106" s="107">
        <v>217.0</v>
      </c>
      <c r="H106" s="108">
        <v>0.0022337962962962962</v>
      </c>
      <c r="I106" s="109">
        <v>0.0</v>
      </c>
      <c r="J106" s="110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>
      <c r="A107" s="103" t="s">
        <v>969</v>
      </c>
      <c r="B107" s="104" t="s">
        <v>1006</v>
      </c>
      <c r="C107" s="103" t="s">
        <v>1017</v>
      </c>
      <c r="D107" s="105" t="s">
        <v>1018</v>
      </c>
      <c r="E107" s="106">
        <v>23.0</v>
      </c>
      <c r="F107" s="107">
        <v>708.0</v>
      </c>
      <c r="G107" s="107">
        <v>489.0</v>
      </c>
      <c r="H107" s="108">
        <v>0.004988425925925926</v>
      </c>
      <c r="I107" s="109">
        <v>0.2647</v>
      </c>
      <c r="J107" s="110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>
      <c r="A108" s="103" t="s">
        <v>969</v>
      </c>
      <c r="B108" s="104" t="s">
        <v>1006</v>
      </c>
      <c r="C108" s="103" t="s">
        <v>1019</v>
      </c>
      <c r="D108" s="105" t="s">
        <v>1020</v>
      </c>
      <c r="E108" s="106">
        <v>19.5</v>
      </c>
      <c r="F108" s="107">
        <v>449.0</v>
      </c>
      <c r="G108" s="107">
        <v>328.0</v>
      </c>
      <c r="H108" s="108">
        <v>0.0044907407407407405</v>
      </c>
      <c r="I108" s="109">
        <v>0.0</v>
      </c>
      <c r="J108" s="110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>
      <c r="A109" s="103" t="s">
        <v>969</v>
      </c>
      <c r="B109" s="104" t="s">
        <v>1006</v>
      </c>
      <c r="C109" s="103" t="s">
        <v>1021</v>
      </c>
      <c r="D109" s="105" t="s">
        <v>1022</v>
      </c>
      <c r="E109" s="106">
        <v>23.0</v>
      </c>
      <c r="F109" s="107">
        <v>832.0</v>
      </c>
      <c r="G109" s="107">
        <v>558.0</v>
      </c>
      <c r="H109" s="108">
        <v>0.003125</v>
      </c>
      <c r="I109" s="109">
        <v>0.0769</v>
      </c>
      <c r="J109" s="110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>
      <c r="A110" s="103" t="s">
        <v>969</v>
      </c>
      <c r="B110" s="104" t="s">
        <v>1006</v>
      </c>
      <c r="C110" s="103" t="s">
        <v>1023</v>
      </c>
      <c r="D110" s="105" t="s">
        <v>1024</v>
      </c>
      <c r="E110" s="106">
        <v>24.0</v>
      </c>
      <c r="F110" s="107">
        <v>782.0</v>
      </c>
      <c r="G110" s="107">
        <v>583.0</v>
      </c>
      <c r="H110" s="108">
        <v>0.0030902777777777777</v>
      </c>
      <c r="I110" s="109">
        <v>0.3125</v>
      </c>
      <c r="J110" s="110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>
      <c r="A111" s="103" t="s">
        <v>969</v>
      </c>
      <c r="B111" s="104" t="s">
        <v>1006</v>
      </c>
      <c r="C111" s="103" t="s">
        <v>1025</v>
      </c>
      <c r="D111" s="105" t="s">
        <v>1026</v>
      </c>
      <c r="E111" s="106">
        <v>23.0</v>
      </c>
      <c r="F111" s="107">
        <v>1153.0</v>
      </c>
      <c r="G111" s="107">
        <v>481.0</v>
      </c>
      <c r="H111" s="108">
        <v>0.0037847222222222223</v>
      </c>
      <c r="I111" s="109">
        <v>0.0714</v>
      </c>
      <c r="J111" s="110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>
      <c r="A112" s="103" t="s">
        <v>969</v>
      </c>
      <c r="B112" s="104" t="s">
        <v>1006</v>
      </c>
      <c r="C112" s="103" t="s">
        <v>1027</v>
      </c>
      <c r="D112" s="105" t="s">
        <v>430</v>
      </c>
      <c r="E112" s="106">
        <v>22.5</v>
      </c>
      <c r="F112" s="107">
        <v>662.0</v>
      </c>
      <c r="G112" s="107">
        <v>557.0</v>
      </c>
      <c r="H112" s="108">
        <v>0.0037962962962962963</v>
      </c>
      <c r="I112" s="109">
        <v>0.25</v>
      </c>
      <c r="J112" s="110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>
      <c r="A113" s="103" t="s">
        <v>969</v>
      </c>
      <c r="B113" s="104" t="s">
        <v>1006</v>
      </c>
      <c r="C113" s="103" t="s">
        <v>1028</v>
      </c>
      <c r="D113" s="105" t="s">
        <v>1029</v>
      </c>
      <c r="E113" s="106">
        <v>22.0</v>
      </c>
      <c r="F113" s="107">
        <v>782.0</v>
      </c>
      <c r="G113" s="107">
        <v>677.0</v>
      </c>
      <c r="H113" s="108">
        <v>0.003553240740740741</v>
      </c>
      <c r="I113" s="109">
        <v>0.1935</v>
      </c>
      <c r="J113" s="110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>
      <c r="A114" s="103" t="s">
        <v>969</v>
      </c>
      <c r="B114" s="104" t="s">
        <v>1006</v>
      </c>
      <c r="C114" s="103" t="s">
        <v>1030</v>
      </c>
      <c r="D114" s="105" t="s">
        <v>1031</v>
      </c>
      <c r="E114" s="106">
        <v>24.0</v>
      </c>
      <c r="F114" s="107">
        <v>560.0</v>
      </c>
      <c r="G114" s="107">
        <v>468.0</v>
      </c>
      <c r="H114" s="108">
        <v>0.004155092592592592</v>
      </c>
      <c r="I114" s="109">
        <v>0.8485</v>
      </c>
      <c r="J114" s="110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>
      <c r="A115" s="103" t="s">
        <v>969</v>
      </c>
      <c r="B115" s="104" t="s">
        <v>1006</v>
      </c>
      <c r="C115" s="103" t="s">
        <v>1032</v>
      </c>
      <c r="D115" s="105" t="s">
        <v>1033</v>
      </c>
      <c r="E115" s="106">
        <v>23.0</v>
      </c>
      <c r="F115" s="107">
        <v>456.0</v>
      </c>
      <c r="G115" s="107">
        <v>390.0</v>
      </c>
      <c r="H115" s="108">
        <v>0.005509259259259259</v>
      </c>
      <c r="I115" s="109">
        <v>0.9286</v>
      </c>
      <c r="J115" s="110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>
      <c r="A116" s="103" t="s">
        <v>969</v>
      </c>
      <c r="B116" s="104" t="s">
        <v>1006</v>
      </c>
      <c r="C116" s="103" t="s">
        <v>1034</v>
      </c>
      <c r="D116" s="105" t="s">
        <v>1035</v>
      </c>
      <c r="E116" s="106">
        <v>22.5</v>
      </c>
      <c r="F116" s="107">
        <v>713.0</v>
      </c>
      <c r="G116" s="107">
        <v>520.0</v>
      </c>
      <c r="H116" s="108">
        <v>0.0034375</v>
      </c>
      <c r="I116" s="109">
        <v>0.5</v>
      </c>
      <c r="J116" s="110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>
      <c r="A117" s="103" t="s">
        <v>969</v>
      </c>
      <c r="B117" s="104" t="s">
        <v>1006</v>
      </c>
      <c r="C117" s="103" t="s">
        <v>1036</v>
      </c>
      <c r="D117" s="105" t="s">
        <v>1037</v>
      </c>
      <c r="E117" s="106">
        <v>23.0</v>
      </c>
      <c r="F117" s="107">
        <v>477.0</v>
      </c>
      <c r="G117" s="107">
        <v>436.0</v>
      </c>
      <c r="H117" s="108">
        <v>0.004293981481481481</v>
      </c>
      <c r="I117" s="109">
        <v>0.7059</v>
      </c>
      <c r="J117" s="110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>
      <c r="A118" s="103" t="s">
        <v>969</v>
      </c>
      <c r="B118" s="104" t="s">
        <v>1006</v>
      </c>
      <c r="C118" s="103" t="s">
        <v>1038</v>
      </c>
      <c r="D118" s="105" t="s">
        <v>1039</v>
      </c>
      <c r="E118" s="106">
        <v>22.0</v>
      </c>
      <c r="F118" s="107">
        <v>888.0</v>
      </c>
      <c r="G118" s="107">
        <v>530.0</v>
      </c>
      <c r="H118" s="108">
        <v>0.004409722222222222</v>
      </c>
      <c r="I118" s="109">
        <v>-0.1667</v>
      </c>
      <c r="J118" s="110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>
      <c r="A119" s="103" t="s">
        <v>969</v>
      </c>
      <c r="B119" s="104" t="s">
        <v>1006</v>
      </c>
      <c r="C119" s="103" t="s">
        <v>1040</v>
      </c>
      <c r="D119" s="105" t="s">
        <v>1041</v>
      </c>
      <c r="E119" s="106">
        <v>23.0</v>
      </c>
      <c r="F119" s="107">
        <v>785.0</v>
      </c>
      <c r="G119" s="107">
        <v>521.0</v>
      </c>
      <c r="H119" s="108">
        <v>0.004340277777777778</v>
      </c>
      <c r="I119" s="109">
        <v>0.0</v>
      </c>
      <c r="J119" s="110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>
      <c r="A120" s="103" t="s">
        <v>969</v>
      </c>
      <c r="B120" s="104" t="s">
        <v>1006</v>
      </c>
      <c r="C120" s="103" t="s">
        <v>1042</v>
      </c>
      <c r="D120" s="105" t="s">
        <v>1043</v>
      </c>
      <c r="E120" s="106">
        <v>25.0</v>
      </c>
      <c r="F120" s="107">
        <v>476.0</v>
      </c>
      <c r="G120" s="107">
        <v>388.0</v>
      </c>
      <c r="H120" s="108">
        <v>0.004363425925925926</v>
      </c>
      <c r="I120" s="109">
        <v>0.3333</v>
      </c>
      <c r="J120" s="110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>
      <c r="A121" s="103" t="s">
        <v>969</v>
      </c>
      <c r="B121" s="104" t="s">
        <v>1006</v>
      </c>
      <c r="C121" s="103" t="s">
        <v>1044</v>
      </c>
      <c r="D121" s="105" t="s">
        <v>1045</v>
      </c>
      <c r="E121" s="106">
        <v>22.0</v>
      </c>
      <c r="F121" s="107">
        <v>650.0</v>
      </c>
      <c r="G121" s="107">
        <v>550.0</v>
      </c>
      <c r="H121" s="108">
        <v>0.003587962962962963</v>
      </c>
      <c r="I121" s="109">
        <v>0.4667</v>
      </c>
      <c r="J121" s="110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>
      <c r="A122" s="103" t="s">
        <v>1046</v>
      </c>
      <c r="B122" s="104" t="s">
        <v>1047</v>
      </c>
      <c r="C122" s="103">
        <v>801529.0</v>
      </c>
      <c r="D122" s="105" t="s">
        <v>1048</v>
      </c>
      <c r="E122" s="106">
        <v>24.0</v>
      </c>
      <c r="F122" s="107">
        <v>1526.0</v>
      </c>
      <c r="G122" s="107">
        <v>1234.0</v>
      </c>
      <c r="H122" s="108">
        <v>0.002777777777777778</v>
      </c>
      <c r="I122" s="109">
        <v>0.7105</v>
      </c>
      <c r="J122" s="110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>
      <c r="A123" s="115" t="s">
        <v>1046</v>
      </c>
      <c r="B123" s="104" t="s">
        <v>1047</v>
      </c>
      <c r="C123" s="103">
        <v>802546.0</v>
      </c>
      <c r="D123" s="104" t="s">
        <v>1049</v>
      </c>
      <c r="E123" s="106">
        <v>24.0</v>
      </c>
      <c r="F123" s="107">
        <v>1991.0</v>
      </c>
      <c r="G123" s="107">
        <v>1317.0</v>
      </c>
      <c r="H123" s="108">
        <v>0.002199074074074074</v>
      </c>
      <c r="I123" s="109">
        <v>0.7333</v>
      </c>
      <c r="J123" s="110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>
      <c r="A124" s="107" t="s">
        <v>1046</v>
      </c>
      <c r="B124" s="113" t="s">
        <v>1047</v>
      </c>
      <c r="C124" s="107">
        <v>804327.0</v>
      </c>
      <c r="D124" s="113" t="s">
        <v>1050</v>
      </c>
      <c r="E124" s="106">
        <v>23.0</v>
      </c>
      <c r="F124" s="107">
        <v>1388.0</v>
      </c>
      <c r="G124" s="107">
        <v>858.0</v>
      </c>
      <c r="H124" s="108">
        <v>0.0035069444444444445</v>
      </c>
      <c r="I124" s="114">
        <v>0.8462</v>
      </c>
      <c r="J124" s="110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>
      <c r="A125" s="107" t="s">
        <v>1046</v>
      </c>
      <c r="B125" s="113" t="s">
        <v>1047</v>
      </c>
      <c r="C125" s="107">
        <v>804663.0</v>
      </c>
      <c r="D125" s="113" t="s">
        <v>1051</v>
      </c>
      <c r="E125" s="106">
        <v>24.0</v>
      </c>
      <c r="F125" s="107">
        <v>1756.0</v>
      </c>
      <c r="G125" s="107">
        <v>1304.0</v>
      </c>
      <c r="H125" s="108">
        <v>0.003148148148148148</v>
      </c>
      <c r="I125" s="114">
        <v>0.8065</v>
      </c>
      <c r="J125" s="110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>
      <c r="A126" s="107" t="s">
        <v>1046</v>
      </c>
      <c r="B126" s="113" t="s">
        <v>1047</v>
      </c>
      <c r="C126" s="107">
        <v>804666.0</v>
      </c>
      <c r="D126" s="113" t="s">
        <v>1052</v>
      </c>
      <c r="E126" s="106">
        <v>20.0</v>
      </c>
      <c r="F126" s="107">
        <v>1526.0</v>
      </c>
      <c r="G126" s="107">
        <v>1388.0</v>
      </c>
      <c r="H126" s="108">
        <v>0.0034375</v>
      </c>
      <c r="I126" s="114">
        <v>0.8955</v>
      </c>
      <c r="J126" s="110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>
      <c r="A127" s="107" t="s">
        <v>1046</v>
      </c>
      <c r="B127" s="113" t="s">
        <v>1047</v>
      </c>
      <c r="C127" s="107">
        <v>804969.0</v>
      </c>
      <c r="D127" s="113" t="s">
        <v>1053</v>
      </c>
      <c r="E127" s="106">
        <v>26.0</v>
      </c>
      <c r="F127" s="107">
        <v>2007.0</v>
      </c>
      <c r="G127" s="107">
        <v>1721.0</v>
      </c>
      <c r="H127" s="108">
        <v>0.0025810185185185185</v>
      </c>
      <c r="I127" s="114">
        <v>0.9306</v>
      </c>
      <c r="J127" s="110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>
      <c r="A128" s="107" t="s">
        <v>1046</v>
      </c>
      <c r="B128" s="113" t="s">
        <v>1047</v>
      </c>
      <c r="C128" s="107">
        <v>805239.0</v>
      </c>
      <c r="D128" s="113" t="s">
        <v>1054</v>
      </c>
      <c r="E128" s="106">
        <v>5.0</v>
      </c>
      <c r="F128" s="107">
        <v>325.0</v>
      </c>
      <c r="G128" s="107">
        <v>285.0</v>
      </c>
      <c r="H128" s="108">
        <v>0.0034837962962962965</v>
      </c>
      <c r="I128" s="107" t="s">
        <v>1055</v>
      </c>
      <c r="J128" s="110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>
      <c r="A129" s="107" t="s">
        <v>1046</v>
      </c>
      <c r="B129" s="113" t="s">
        <v>1047</v>
      </c>
      <c r="C129" s="107">
        <v>805394.0</v>
      </c>
      <c r="D129" s="113" t="s">
        <v>1056</v>
      </c>
      <c r="E129" s="106">
        <v>24.0</v>
      </c>
      <c r="F129" s="107">
        <v>2319.0</v>
      </c>
      <c r="G129" s="107">
        <v>2116.0</v>
      </c>
      <c r="H129" s="108">
        <v>0.002025462962962963</v>
      </c>
      <c r="I129" s="114">
        <v>0.7344</v>
      </c>
      <c r="J129" s="110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>
      <c r="A130" s="107" t="s">
        <v>1046</v>
      </c>
      <c r="B130" s="113" t="s">
        <v>1047</v>
      </c>
      <c r="C130" s="107">
        <v>805780.0</v>
      </c>
      <c r="D130" s="113" t="s">
        <v>1057</v>
      </c>
      <c r="E130" s="106">
        <v>11.0</v>
      </c>
      <c r="F130" s="107">
        <v>736.0</v>
      </c>
      <c r="G130" s="107">
        <v>576.0</v>
      </c>
      <c r="H130" s="108">
        <v>0.002951388888888889</v>
      </c>
      <c r="I130" s="114">
        <v>0.7143</v>
      </c>
      <c r="J130" s="110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>
      <c r="A131" s="107" t="s">
        <v>1046</v>
      </c>
      <c r="B131" s="113" t="s">
        <v>1047</v>
      </c>
      <c r="C131" s="107">
        <v>805966.0</v>
      </c>
      <c r="D131" s="113" t="s">
        <v>1058</v>
      </c>
      <c r="E131" s="106">
        <v>21.0</v>
      </c>
      <c r="F131" s="107">
        <v>1326.0</v>
      </c>
      <c r="G131" s="107">
        <v>1097.0</v>
      </c>
      <c r="H131" s="108">
        <v>0.003738425925925926</v>
      </c>
      <c r="I131" s="114">
        <v>0.7179</v>
      </c>
      <c r="J131" s="110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>
      <c r="A132" s="107" t="s">
        <v>1046</v>
      </c>
      <c r="B132" s="113" t="s">
        <v>1047</v>
      </c>
      <c r="C132" s="107">
        <v>806251.0</v>
      </c>
      <c r="D132" s="113" t="s">
        <v>1059</v>
      </c>
      <c r="E132" s="106">
        <v>25.0</v>
      </c>
      <c r="F132" s="107">
        <v>1614.0</v>
      </c>
      <c r="G132" s="107">
        <v>1401.0</v>
      </c>
      <c r="H132" s="108">
        <v>0.00443287037037037</v>
      </c>
      <c r="I132" s="114">
        <v>0.9</v>
      </c>
      <c r="J132" s="110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>
      <c r="A133" s="107" t="s">
        <v>1046</v>
      </c>
      <c r="B133" s="113" t="s">
        <v>1047</v>
      </c>
      <c r="C133" s="107">
        <v>806479.0</v>
      </c>
      <c r="D133" s="113" t="s">
        <v>1060</v>
      </c>
      <c r="E133" s="106">
        <v>24.0</v>
      </c>
      <c r="F133" s="107">
        <v>1260.0</v>
      </c>
      <c r="G133" s="107">
        <v>1164.0</v>
      </c>
      <c r="H133" s="108">
        <v>0.0037731481481481483</v>
      </c>
      <c r="I133" s="114">
        <v>0.7</v>
      </c>
      <c r="J133" s="110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>
      <c r="A134" s="107" t="s">
        <v>1046</v>
      </c>
      <c r="B134" s="113" t="s">
        <v>1047</v>
      </c>
      <c r="C134" s="107">
        <v>806481.0</v>
      </c>
      <c r="D134" s="113" t="s">
        <v>1061</v>
      </c>
      <c r="E134" s="106">
        <v>26.0</v>
      </c>
      <c r="F134" s="107">
        <v>1197.0</v>
      </c>
      <c r="G134" s="107">
        <v>1084.0</v>
      </c>
      <c r="H134" s="108">
        <v>0.0029745370370370373</v>
      </c>
      <c r="I134" s="114">
        <v>1.0</v>
      </c>
      <c r="J134" s="110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>
      <c r="A135" s="107" t="s">
        <v>1046</v>
      </c>
      <c r="B135" s="113" t="s">
        <v>1047</v>
      </c>
      <c r="C135" s="107">
        <v>806482.0</v>
      </c>
      <c r="D135" s="113" t="s">
        <v>1062</v>
      </c>
      <c r="E135" s="106">
        <v>24.0</v>
      </c>
      <c r="F135" s="107">
        <v>1303.0</v>
      </c>
      <c r="G135" s="107">
        <v>1217.0</v>
      </c>
      <c r="H135" s="108">
        <v>0.003715277777777778</v>
      </c>
      <c r="I135" s="114">
        <v>0.75</v>
      </c>
      <c r="J135" s="110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>
      <c r="A136" s="107" t="s">
        <v>1046</v>
      </c>
      <c r="B136" s="113" t="s">
        <v>1047</v>
      </c>
      <c r="C136" s="107">
        <v>806551.0</v>
      </c>
      <c r="D136" s="113" t="s">
        <v>1063</v>
      </c>
      <c r="E136" s="106">
        <v>19.0</v>
      </c>
      <c r="F136" s="107">
        <v>625.0</v>
      </c>
      <c r="G136" s="107">
        <v>565.0</v>
      </c>
      <c r="H136" s="108">
        <v>0.003587962962962963</v>
      </c>
      <c r="I136" s="114">
        <v>0.84</v>
      </c>
      <c r="J136" s="110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>
      <c r="A137" s="107" t="s">
        <v>1046</v>
      </c>
      <c r="B137" s="113" t="s">
        <v>1047</v>
      </c>
      <c r="C137" s="107">
        <v>806941.0</v>
      </c>
      <c r="D137" s="113" t="s">
        <v>1064</v>
      </c>
      <c r="E137" s="106">
        <v>22.0</v>
      </c>
      <c r="F137" s="107">
        <v>687.0</v>
      </c>
      <c r="G137" s="107">
        <v>579.0</v>
      </c>
      <c r="H137" s="108">
        <v>0.00525462962962963</v>
      </c>
      <c r="I137" s="107" t="s">
        <v>1055</v>
      </c>
      <c r="J137" s="110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>
      <c r="A138" s="107" t="s">
        <v>1046</v>
      </c>
      <c r="B138" s="113" t="s">
        <v>1047</v>
      </c>
      <c r="C138" s="107">
        <v>806942.0</v>
      </c>
      <c r="D138" s="113" t="s">
        <v>1065</v>
      </c>
      <c r="E138" s="106">
        <v>8.0</v>
      </c>
      <c r="F138" s="107">
        <v>228.0</v>
      </c>
      <c r="G138" s="107">
        <v>186.0</v>
      </c>
      <c r="H138" s="108">
        <v>0.005115740740740741</v>
      </c>
      <c r="I138" s="107" t="s">
        <v>1055</v>
      </c>
      <c r="J138" s="110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>
      <c r="A139" s="107" t="s">
        <v>1046</v>
      </c>
      <c r="B139" s="113" t="s">
        <v>1066</v>
      </c>
      <c r="C139" s="107">
        <v>309818.0</v>
      </c>
      <c r="D139" s="113" t="s">
        <v>1067</v>
      </c>
      <c r="E139" s="106">
        <v>24.0</v>
      </c>
      <c r="F139" s="107">
        <v>1631.0</v>
      </c>
      <c r="G139" s="107">
        <v>987.0</v>
      </c>
      <c r="H139" s="108">
        <v>0.002673611111111111</v>
      </c>
      <c r="I139" s="114">
        <v>1.0</v>
      </c>
      <c r="J139" s="110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>
      <c r="A140" s="107" t="s">
        <v>1046</v>
      </c>
      <c r="B140" s="113" t="s">
        <v>1066</v>
      </c>
      <c r="C140" s="107">
        <v>800003.0</v>
      </c>
      <c r="D140" s="113" t="s">
        <v>1068</v>
      </c>
      <c r="E140" s="106">
        <v>22.0</v>
      </c>
      <c r="F140" s="107">
        <v>886.0</v>
      </c>
      <c r="G140" s="107">
        <v>661.0</v>
      </c>
      <c r="H140" s="108">
        <v>0.0021296296296296298</v>
      </c>
      <c r="I140" s="114">
        <v>0.4338</v>
      </c>
      <c r="J140" s="110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>
      <c r="A141" s="107" t="s">
        <v>1046</v>
      </c>
      <c r="B141" s="113" t="s">
        <v>1066</v>
      </c>
      <c r="C141" s="107">
        <v>800520.0</v>
      </c>
      <c r="D141" s="113" t="s">
        <v>1069</v>
      </c>
      <c r="E141" s="106">
        <v>23.0</v>
      </c>
      <c r="F141" s="107">
        <v>1235.0</v>
      </c>
      <c r="G141" s="107">
        <v>886.0</v>
      </c>
      <c r="H141" s="108">
        <v>0.0022916666666666667</v>
      </c>
      <c r="I141" s="114">
        <v>0.6849</v>
      </c>
      <c r="J141" s="110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>
      <c r="A142" s="107" t="s">
        <v>1046</v>
      </c>
      <c r="B142" s="113" t="s">
        <v>1066</v>
      </c>
      <c r="C142" s="107">
        <v>800521.0</v>
      </c>
      <c r="D142" s="113" t="s">
        <v>1070</v>
      </c>
      <c r="E142" s="106">
        <v>0.0</v>
      </c>
      <c r="F142" s="107">
        <v>0.0</v>
      </c>
      <c r="G142" s="107">
        <v>0.0</v>
      </c>
      <c r="H142" s="107" t="s">
        <v>1055</v>
      </c>
      <c r="I142" s="107" t="s">
        <v>1055</v>
      </c>
      <c r="J142" s="110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>
      <c r="A143" s="107" t="s">
        <v>1046</v>
      </c>
      <c r="B143" s="113" t="s">
        <v>1066</v>
      </c>
      <c r="C143" s="107">
        <v>801217.0</v>
      </c>
      <c r="D143" s="113" t="s">
        <v>1071</v>
      </c>
      <c r="E143" s="106">
        <v>20.0</v>
      </c>
      <c r="F143" s="107">
        <v>1770.0</v>
      </c>
      <c r="G143" s="107">
        <v>1348.0</v>
      </c>
      <c r="H143" s="108">
        <v>0.002384259259259259</v>
      </c>
      <c r="I143" s="114">
        <v>0.7576</v>
      </c>
      <c r="J143" s="110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>
      <c r="A144" s="107" t="s">
        <v>1046</v>
      </c>
      <c r="B144" s="113" t="s">
        <v>1066</v>
      </c>
      <c r="C144" s="107">
        <v>801219.0</v>
      </c>
      <c r="D144" s="113" t="s">
        <v>1072</v>
      </c>
      <c r="E144" s="106">
        <v>7.0</v>
      </c>
      <c r="F144" s="107">
        <v>313.0</v>
      </c>
      <c r="G144" s="107">
        <v>213.0</v>
      </c>
      <c r="H144" s="108">
        <v>0.0015625</v>
      </c>
      <c r="I144" s="107" t="s">
        <v>1055</v>
      </c>
      <c r="J144" s="110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>
      <c r="A145" s="107" t="s">
        <v>1046</v>
      </c>
      <c r="B145" s="113" t="s">
        <v>1066</v>
      </c>
      <c r="C145" s="107">
        <v>802092.0</v>
      </c>
      <c r="D145" s="113" t="s">
        <v>1073</v>
      </c>
      <c r="E145" s="106">
        <v>22.0</v>
      </c>
      <c r="F145" s="107">
        <v>1556.0</v>
      </c>
      <c r="G145" s="107">
        <v>1216.0</v>
      </c>
      <c r="H145" s="108">
        <v>0.0028356481481481483</v>
      </c>
      <c r="I145" s="114">
        <v>0.6034</v>
      </c>
      <c r="J145" s="110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>
      <c r="A146" s="107" t="s">
        <v>1046</v>
      </c>
      <c r="B146" s="113" t="s">
        <v>1066</v>
      </c>
      <c r="C146" s="107">
        <v>802439.0</v>
      </c>
      <c r="D146" s="113" t="s">
        <v>1074</v>
      </c>
      <c r="E146" s="106">
        <v>23.0</v>
      </c>
      <c r="F146" s="107">
        <v>1349.0</v>
      </c>
      <c r="G146" s="107">
        <v>1043.0</v>
      </c>
      <c r="H146" s="108">
        <v>0.002650462962962963</v>
      </c>
      <c r="I146" s="114">
        <v>0.8537</v>
      </c>
      <c r="J146" s="110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>
      <c r="A147" s="107" t="s">
        <v>1046</v>
      </c>
      <c r="B147" s="113" t="s">
        <v>1066</v>
      </c>
      <c r="C147" s="107">
        <v>802440.0</v>
      </c>
      <c r="D147" s="113" t="s">
        <v>1075</v>
      </c>
      <c r="E147" s="106">
        <v>25.0</v>
      </c>
      <c r="F147" s="107">
        <v>1186.0</v>
      </c>
      <c r="G147" s="107">
        <v>986.0</v>
      </c>
      <c r="H147" s="108">
        <v>0.0023032407407407407</v>
      </c>
      <c r="I147" s="114">
        <v>0.5789</v>
      </c>
      <c r="J147" s="110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>
      <c r="A148" s="107" t="s">
        <v>1046</v>
      </c>
      <c r="B148" s="113" t="s">
        <v>1066</v>
      </c>
      <c r="C148" s="107">
        <v>803196.0</v>
      </c>
      <c r="D148" s="113" t="s">
        <v>1076</v>
      </c>
      <c r="E148" s="106">
        <v>25.0</v>
      </c>
      <c r="F148" s="107">
        <v>1863.0</v>
      </c>
      <c r="G148" s="107">
        <v>1745.0</v>
      </c>
      <c r="H148" s="108">
        <v>0.002488425925925926</v>
      </c>
      <c r="I148" s="114">
        <v>0.7975</v>
      </c>
      <c r="J148" s="110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>
      <c r="A149" s="107" t="s">
        <v>1046</v>
      </c>
      <c r="B149" s="113" t="s">
        <v>1066</v>
      </c>
      <c r="C149" s="107">
        <v>804820.0</v>
      </c>
      <c r="D149" s="113" t="s">
        <v>1077</v>
      </c>
      <c r="E149" s="106">
        <v>24.0</v>
      </c>
      <c r="F149" s="107">
        <v>1239.0</v>
      </c>
      <c r="G149" s="107">
        <v>1093.0</v>
      </c>
      <c r="H149" s="108">
        <v>0.0038194444444444443</v>
      </c>
      <c r="I149" s="114">
        <v>0.8929</v>
      </c>
      <c r="J149" s="110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>
      <c r="A150" s="107" t="s">
        <v>1046</v>
      </c>
      <c r="B150" s="113" t="s">
        <v>1066</v>
      </c>
      <c r="C150" s="107">
        <v>804821.0</v>
      </c>
      <c r="D150" s="113" t="s">
        <v>1078</v>
      </c>
      <c r="E150" s="106">
        <v>7.0</v>
      </c>
      <c r="F150" s="107">
        <v>834.0</v>
      </c>
      <c r="G150" s="107">
        <v>482.0</v>
      </c>
      <c r="H150" s="108">
        <v>0.0021527777777777778</v>
      </c>
      <c r="I150" s="107" t="s">
        <v>1055</v>
      </c>
      <c r="J150" s="110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>
      <c r="A151" s="107" t="s">
        <v>1046</v>
      </c>
      <c r="B151" s="113" t="s">
        <v>1066</v>
      </c>
      <c r="C151" s="107">
        <v>805163.0</v>
      </c>
      <c r="D151" s="113" t="s">
        <v>1079</v>
      </c>
      <c r="E151" s="106">
        <v>23.0</v>
      </c>
      <c r="F151" s="107">
        <v>1840.0</v>
      </c>
      <c r="G151" s="107">
        <v>1618.0</v>
      </c>
      <c r="H151" s="108">
        <v>0.002337962962962963</v>
      </c>
      <c r="I151" s="114">
        <v>0.7361</v>
      </c>
      <c r="J151" s="110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>
      <c r="A152" s="107" t="s">
        <v>1046</v>
      </c>
      <c r="B152" s="113" t="s">
        <v>1066</v>
      </c>
      <c r="C152" s="107">
        <v>805237.0</v>
      </c>
      <c r="D152" s="113" t="s">
        <v>1080</v>
      </c>
      <c r="E152" s="106">
        <v>23.0</v>
      </c>
      <c r="F152" s="107">
        <v>2067.0</v>
      </c>
      <c r="G152" s="107">
        <v>1561.0</v>
      </c>
      <c r="H152" s="108">
        <v>0.002789351851851852</v>
      </c>
      <c r="I152" s="114">
        <v>0.9259</v>
      </c>
      <c r="J152" s="110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>
      <c r="A153" s="107" t="s">
        <v>1046</v>
      </c>
      <c r="B153" s="113" t="s">
        <v>1066</v>
      </c>
      <c r="C153" s="107">
        <v>805393.0</v>
      </c>
      <c r="D153" s="113" t="s">
        <v>1081</v>
      </c>
      <c r="E153" s="106">
        <v>23.0</v>
      </c>
      <c r="F153" s="107">
        <v>1943.0</v>
      </c>
      <c r="G153" s="107">
        <v>1515.0</v>
      </c>
      <c r="H153" s="108">
        <v>0.0027314814814814814</v>
      </c>
      <c r="I153" s="114">
        <v>0.7241</v>
      </c>
      <c r="J153" s="110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>
      <c r="A154" s="107" t="s">
        <v>1046</v>
      </c>
      <c r="B154" s="113" t="s">
        <v>1066</v>
      </c>
      <c r="C154" s="107">
        <v>805434.0</v>
      </c>
      <c r="D154" s="113" t="s">
        <v>1082</v>
      </c>
      <c r="E154" s="106">
        <v>24.0</v>
      </c>
      <c r="F154" s="107">
        <v>1815.0</v>
      </c>
      <c r="G154" s="107">
        <v>1287.0</v>
      </c>
      <c r="H154" s="108">
        <v>0.0021412037037037038</v>
      </c>
      <c r="I154" s="114">
        <v>0.8125</v>
      </c>
      <c r="J154" s="110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>
      <c r="A155" s="107" t="s">
        <v>1046</v>
      </c>
      <c r="B155" s="113" t="s">
        <v>1066</v>
      </c>
      <c r="C155" s="107">
        <v>806250.0</v>
      </c>
      <c r="D155" s="113" t="s">
        <v>1083</v>
      </c>
      <c r="E155" s="106">
        <v>25.0</v>
      </c>
      <c r="F155" s="107">
        <v>1611.0</v>
      </c>
      <c r="G155" s="107">
        <v>1417.0</v>
      </c>
      <c r="H155" s="108">
        <v>0.0033796296296296296</v>
      </c>
      <c r="I155" s="107" t="s">
        <v>1055</v>
      </c>
      <c r="J155" s="110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>
      <c r="A156" s="107" t="s">
        <v>1046</v>
      </c>
      <c r="B156" s="113" t="s">
        <v>1066</v>
      </c>
      <c r="C156" s="107">
        <v>806254.0</v>
      </c>
      <c r="D156" s="113" t="s">
        <v>1084</v>
      </c>
      <c r="E156" s="106">
        <v>22.0</v>
      </c>
      <c r="F156" s="107">
        <v>2402.0</v>
      </c>
      <c r="G156" s="107">
        <v>1558.0</v>
      </c>
      <c r="H156" s="108">
        <v>0.002662037037037037</v>
      </c>
      <c r="I156" s="114">
        <v>0.5882</v>
      </c>
      <c r="J156" s="110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>
      <c r="A157" s="107" t="s">
        <v>1046</v>
      </c>
      <c r="B157" s="113" t="s">
        <v>1085</v>
      </c>
      <c r="C157" s="107">
        <v>800076.0</v>
      </c>
      <c r="D157" s="113" t="s">
        <v>1086</v>
      </c>
      <c r="E157" s="106">
        <v>25.0</v>
      </c>
      <c r="F157" s="107">
        <v>962.0</v>
      </c>
      <c r="G157" s="107">
        <v>717.0</v>
      </c>
      <c r="H157" s="108">
        <v>0.0026967592592592594</v>
      </c>
      <c r="I157" s="114">
        <v>0.393</v>
      </c>
      <c r="J157" s="110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>
      <c r="A158" s="107" t="s">
        <v>1046</v>
      </c>
      <c r="B158" s="113" t="s">
        <v>1085</v>
      </c>
      <c r="C158" s="107">
        <v>800525.0</v>
      </c>
      <c r="D158" s="113" t="s">
        <v>1087</v>
      </c>
      <c r="E158" s="106">
        <v>24.0</v>
      </c>
      <c r="F158" s="107">
        <v>1400.0</v>
      </c>
      <c r="G158" s="107">
        <v>1123.0</v>
      </c>
      <c r="H158" s="108">
        <v>0.0034953703703703705</v>
      </c>
      <c r="I158" s="114">
        <v>0.8667</v>
      </c>
      <c r="J158" s="110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>
      <c r="A159" s="107" t="s">
        <v>1046</v>
      </c>
      <c r="B159" s="113" t="s">
        <v>1085</v>
      </c>
      <c r="C159" s="107">
        <v>801101.0</v>
      </c>
      <c r="D159" s="113" t="s">
        <v>1088</v>
      </c>
      <c r="E159" s="106">
        <v>20.0</v>
      </c>
      <c r="F159" s="107">
        <v>1825.0</v>
      </c>
      <c r="G159" s="107">
        <v>1392.0</v>
      </c>
      <c r="H159" s="108">
        <v>0.0025</v>
      </c>
      <c r="I159" s="114">
        <v>0.75</v>
      </c>
      <c r="J159" s="110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>
      <c r="A160" s="107" t="s">
        <v>1046</v>
      </c>
      <c r="B160" s="113" t="s">
        <v>1085</v>
      </c>
      <c r="C160" s="107">
        <v>801528.0</v>
      </c>
      <c r="D160" s="113" t="s">
        <v>1089</v>
      </c>
      <c r="E160" s="106">
        <v>22.0</v>
      </c>
      <c r="F160" s="107">
        <v>1042.0</v>
      </c>
      <c r="G160" s="107">
        <v>793.0</v>
      </c>
      <c r="H160" s="108">
        <v>0.0031944444444444446</v>
      </c>
      <c r="I160" s="114">
        <v>0.6098</v>
      </c>
      <c r="J160" s="110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>
      <c r="A161" s="107" t="s">
        <v>1046</v>
      </c>
      <c r="B161" s="113" t="s">
        <v>1085</v>
      </c>
      <c r="C161" s="107">
        <v>801707.0</v>
      </c>
      <c r="D161" s="113" t="s">
        <v>1090</v>
      </c>
      <c r="E161" s="106">
        <v>21.0</v>
      </c>
      <c r="F161" s="107">
        <v>1253.0</v>
      </c>
      <c r="G161" s="107">
        <v>1031.0</v>
      </c>
      <c r="H161" s="108">
        <v>0.0030787037037037037</v>
      </c>
      <c r="I161" s="107" t="s">
        <v>1055</v>
      </c>
      <c r="J161" s="110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>
      <c r="A162" s="107" t="s">
        <v>1046</v>
      </c>
      <c r="B162" s="113" t="s">
        <v>1085</v>
      </c>
      <c r="C162" s="107">
        <v>801859.0</v>
      </c>
      <c r="D162" s="113" t="s">
        <v>1091</v>
      </c>
      <c r="E162" s="106">
        <v>25.0</v>
      </c>
      <c r="F162" s="107">
        <v>2272.0</v>
      </c>
      <c r="G162" s="107">
        <v>1401.0</v>
      </c>
      <c r="H162" s="108">
        <v>0.002928240740740741</v>
      </c>
      <c r="I162" s="114">
        <v>0.8378</v>
      </c>
      <c r="J162" s="110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>
      <c r="A163" s="107" t="s">
        <v>1046</v>
      </c>
      <c r="B163" s="113" t="s">
        <v>1085</v>
      </c>
      <c r="C163" s="107">
        <v>803093.0</v>
      </c>
      <c r="D163" s="113" t="s">
        <v>1092</v>
      </c>
      <c r="E163" s="106">
        <v>17.0</v>
      </c>
      <c r="F163" s="107">
        <v>1096.0</v>
      </c>
      <c r="G163" s="107">
        <v>1036.0</v>
      </c>
      <c r="H163" s="108">
        <v>0.0029861111111111113</v>
      </c>
      <c r="I163" s="107" t="s">
        <v>1055</v>
      </c>
      <c r="J163" s="110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>
      <c r="A164" s="107" t="s">
        <v>1046</v>
      </c>
      <c r="B164" s="113" t="s">
        <v>1085</v>
      </c>
      <c r="C164" s="107">
        <v>803199.0</v>
      </c>
      <c r="D164" s="113" t="s">
        <v>1093</v>
      </c>
      <c r="E164" s="106">
        <v>25.0</v>
      </c>
      <c r="F164" s="107">
        <v>1600.0</v>
      </c>
      <c r="G164" s="107">
        <v>1390.0</v>
      </c>
      <c r="H164" s="108">
        <v>0.00369212962962963</v>
      </c>
      <c r="I164" s="114">
        <v>0.8438</v>
      </c>
      <c r="J164" s="110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>
      <c r="A165" s="107" t="s">
        <v>1046</v>
      </c>
      <c r="B165" s="113" t="s">
        <v>1085</v>
      </c>
      <c r="C165" s="107">
        <v>803912.0</v>
      </c>
      <c r="D165" s="113" t="s">
        <v>1094</v>
      </c>
      <c r="E165" s="106">
        <v>1.0</v>
      </c>
      <c r="F165" s="107">
        <v>116.0</v>
      </c>
      <c r="G165" s="107">
        <v>103.0</v>
      </c>
      <c r="H165" s="108">
        <v>0.0028472222222222223</v>
      </c>
      <c r="I165" s="107" t="s">
        <v>1055</v>
      </c>
      <c r="J165" s="110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>
      <c r="A166" s="107" t="s">
        <v>1046</v>
      </c>
      <c r="B166" s="113" t="s">
        <v>1085</v>
      </c>
      <c r="C166" s="107">
        <v>804325.0</v>
      </c>
      <c r="D166" s="113" t="s">
        <v>1095</v>
      </c>
      <c r="E166" s="106">
        <v>25.0</v>
      </c>
      <c r="F166" s="107">
        <v>865.0</v>
      </c>
      <c r="G166" s="107">
        <v>830.0</v>
      </c>
      <c r="H166" s="108">
        <v>0.002685185185185185</v>
      </c>
      <c r="I166" s="114">
        <v>0.9032</v>
      </c>
      <c r="J166" s="110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>
      <c r="A167" s="107" t="s">
        <v>1046</v>
      </c>
      <c r="B167" s="113" t="s">
        <v>1085</v>
      </c>
      <c r="C167" s="107">
        <v>804326.0</v>
      </c>
      <c r="D167" s="113" t="s">
        <v>1096</v>
      </c>
      <c r="E167" s="106">
        <v>22.0</v>
      </c>
      <c r="F167" s="107">
        <v>1886.0</v>
      </c>
      <c r="G167" s="107">
        <v>1551.0</v>
      </c>
      <c r="H167" s="108">
        <v>0.0025578703703703705</v>
      </c>
      <c r="I167" s="114">
        <v>1.0</v>
      </c>
      <c r="J167" s="110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>
      <c r="A168" s="107" t="s">
        <v>1046</v>
      </c>
      <c r="B168" s="113" t="s">
        <v>1085</v>
      </c>
      <c r="C168" s="107">
        <v>804348.0</v>
      </c>
      <c r="D168" s="113" t="s">
        <v>1097</v>
      </c>
      <c r="E168" s="106">
        <v>23.0</v>
      </c>
      <c r="F168" s="107">
        <v>1808.0</v>
      </c>
      <c r="G168" s="107">
        <v>820.0</v>
      </c>
      <c r="H168" s="108">
        <v>0.0022453703703703702</v>
      </c>
      <c r="I168" s="114">
        <v>0.8947</v>
      </c>
      <c r="J168" s="110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>
      <c r="A169" s="107" t="s">
        <v>1046</v>
      </c>
      <c r="B169" s="113" t="s">
        <v>1085</v>
      </c>
      <c r="C169" s="107">
        <v>804542.0</v>
      </c>
      <c r="D169" s="113" t="s">
        <v>1098</v>
      </c>
      <c r="E169" s="106">
        <v>22.0</v>
      </c>
      <c r="F169" s="107">
        <v>992.0</v>
      </c>
      <c r="G169" s="107">
        <v>911.0</v>
      </c>
      <c r="H169" s="108">
        <v>0.0028356481481481483</v>
      </c>
      <c r="I169" s="114">
        <v>0.8485</v>
      </c>
      <c r="J169" s="110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>
      <c r="A170" s="107" t="s">
        <v>1046</v>
      </c>
      <c r="B170" s="113" t="s">
        <v>1085</v>
      </c>
      <c r="C170" s="107">
        <v>804543.0</v>
      </c>
      <c r="D170" s="113" t="s">
        <v>1099</v>
      </c>
      <c r="E170" s="106">
        <v>24.0</v>
      </c>
      <c r="F170" s="107">
        <v>1509.0</v>
      </c>
      <c r="G170" s="107">
        <v>1418.0</v>
      </c>
      <c r="H170" s="108">
        <v>0.003159722222222222</v>
      </c>
      <c r="I170" s="114">
        <v>0.7547</v>
      </c>
      <c r="J170" s="110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>
      <c r="A171" s="107" t="s">
        <v>1046</v>
      </c>
      <c r="B171" s="113" t="s">
        <v>1085</v>
      </c>
      <c r="C171" s="107">
        <v>804547.0</v>
      </c>
      <c r="D171" s="113" t="s">
        <v>1100</v>
      </c>
      <c r="E171" s="106">
        <v>20.0</v>
      </c>
      <c r="F171" s="107">
        <v>1068.0</v>
      </c>
      <c r="G171" s="107">
        <v>847.0</v>
      </c>
      <c r="H171" s="108">
        <v>0.0024189814814814816</v>
      </c>
      <c r="I171" s="114">
        <v>0.6923</v>
      </c>
      <c r="J171" s="110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>
      <c r="A172" s="107" t="s">
        <v>1046</v>
      </c>
      <c r="B172" s="113" t="s">
        <v>1085</v>
      </c>
      <c r="C172" s="107">
        <v>804822.0</v>
      </c>
      <c r="D172" s="113" t="s">
        <v>1101</v>
      </c>
      <c r="E172" s="106">
        <v>24.0</v>
      </c>
      <c r="F172" s="107">
        <v>1147.0</v>
      </c>
      <c r="G172" s="107">
        <v>795.0</v>
      </c>
      <c r="H172" s="108">
        <v>0.002638888888888889</v>
      </c>
      <c r="I172" s="114">
        <v>0.9</v>
      </c>
      <c r="J172" s="110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>
      <c r="A173" s="107" t="s">
        <v>1046</v>
      </c>
      <c r="B173" s="113" t="s">
        <v>1085</v>
      </c>
      <c r="C173" s="107">
        <v>805143.0</v>
      </c>
      <c r="D173" s="113" t="s">
        <v>1102</v>
      </c>
      <c r="E173" s="106">
        <v>22.0</v>
      </c>
      <c r="F173" s="107">
        <v>1535.0</v>
      </c>
      <c r="G173" s="107">
        <v>1210.0</v>
      </c>
      <c r="H173" s="108">
        <v>0.0033449074074074076</v>
      </c>
      <c r="I173" s="114">
        <v>0.9</v>
      </c>
      <c r="J173" s="110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>
      <c r="A174" s="107" t="s">
        <v>1046</v>
      </c>
      <c r="B174" s="113" t="s">
        <v>1085</v>
      </c>
      <c r="C174" s="107">
        <v>805551.0</v>
      </c>
      <c r="D174" s="113" t="s">
        <v>1103</v>
      </c>
      <c r="E174" s="106">
        <v>22.0</v>
      </c>
      <c r="F174" s="107">
        <v>1325.0</v>
      </c>
      <c r="G174" s="107">
        <v>1209.0</v>
      </c>
      <c r="H174" s="108">
        <v>0.0033796296296296296</v>
      </c>
      <c r="I174" s="114">
        <v>0.7414</v>
      </c>
      <c r="J174" s="110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>
      <c r="A175" s="107" t="s">
        <v>1046</v>
      </c>
      <c r="B175" s="113" t="s">
        <v>1085</v>
      </c>
      <c r="C175" s="107">
        <v>805554.0</v>
      </c>
      <c r="D175" s="113" t="s">
        <v>1104</v>
      </c>
      <c r="E175" s="106">
        <v>15.0</v>
      </c>
      <c r="F175" s="107">
        <v>956.0</v>
      </c>
      <c r="G175" s="107">
        <v>849.0</v>
      </c>
      <c r="H175" s="108">
        <v>0.0022569444444444442</v>
      </c>
      <c r="I175" s="107" t="s">
        <v>1055</v>
      </c>
      <c r="J175" s="110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>
      <c r="A176" s="107" t="s">
        <v>1046</v>
      </c>
      <c r="B176" s="113" t="s">
        <v>1085</v>
      </c>
      <c r="C176" s="107">
        <v>806255.0</v>
      </c>
      <c r="D176" s="113" t="s">
        <v>1105</v>
      </c>
      <c r="E176" s="106">
        <v>16.0</v>
      </c>
      <c r="F176" s="107">
        <v>1758.0</v>
      </c>
      <c r="G176" s="107">
        <v>1141.0</v>
      </c>
      <c r="H176" s="108">
        <v>0.0026157407407407405</v>
      </c>
      <c r="I176" s="114">
        <v>0.8824</v>
      </c>
      <c r="J176" s="110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>
      <c r="A177" s="107" t="s">
        <v>23</v>
      </c>
      <c r="B177" s="113" t="s">
        <v>802</v>
      </c>
      <c r="C177" s="107" t="s">
        <v>1106</v>
      </c>
      <c r="D177" s="113" t="s">
        <v>1107</v>
      </c>
      <c r="E177" s="106">
        <v>24.0</v>
      </c>
      <c r="F177" s="107">
        <v>517.0</v>
      </c>
      <c r="G177" s="107">
        <v>315.0</v>
      </c>
      <c r="H177" s="108">
        <v>0.0015277777777777779</v>
      </c>
      <c r="I177" s="114">
        <v>-0.3</v>
      </c>
      <c r="J177" s="110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>
      <c r="A178" s="107" t="s">
        <v>23</v>
      </c>
      <c r="B178" s="113" t="s">
        <v>802</v>
      </c>
      <c r="C178" s="107" t="s">
        <v>1108</v>
      </c>
      <c r="D178" s="113" t="s">
        <v>1109</v>
      </c>
      <c r="E178" s="106">
        <v>24.5</v>
      </c>
      <c r="F178" s="107">
        <v>760.0</v>
      </c>
      <c r="G178" s="107">
        <v>434.0</v>
      </c>
      <c r="H178" s="108">
        <v>0.0016087962962962963</v>
      </c>
      <c r="I178" s="114">
        <v>0.027</v>
      </c>
      <c r="J178" s="110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>
      <c r="A179" s="103" t="s">
        <v>23</v>
      </c>
      <c r="B179" s="104" t="s">
        <v>1110</v>
      </c>
      <c r="C179" s="103" t="s">
        <v>1111</v>
      </c>
      <c r="D179" s="105" t="s">
        <v>1112</v>
      </c>
      <c r="E179" s="106">
        <v>14.0</v>
      </c>
      <c r="F179" s="107">
        <v>285.0</v>
      </c>
      <c r="G179" s="107">
        <v>250.0</v>
      </c>
      <c r="H179" s="108">
        <v>0.004768518518518518</v>
      </c>
      <c r="I179" s="116" t="s">
        <v>1113</v>
      </c>
      <c r="J179" s="110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>
      <c r="A180" s="103" t="s">
        <v>23</v>
      </c>
      <c r="B180" s="104" t="s">
        <v>1110</v>
      </c>
      <c r="C180" s="103" t="s">
        <v>1114</v>
      </c>
      <c r="D180" s="105" t="s">
        <v>1115</v>
      </c>
      <c r="E180" s="106">
        <v>13.5</v>
      </c>
      <c r="F180" s="107">
        <v>258.0</v>
      </c>
      <c r="G180" s="107">
        <v>244.0</v>
      </c>
      <c r="H180" s="108">
        <v>0.0033680555555555556</v>
      </c>
      <c r="I180" s="116" t="s">
        <v>1113</v>
      </c>
      <c r="J180" s="110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>
      <c r="A181" s="107" t="s">
        <v>23</v>
      </c>
      <c r="B181" s="113" t="s">
        <v>1110</v>
      </c>
      <c r="C181" s="107" t="s">
        <v>1116</v>
      </c>
      <c r="D181" s="113" t="s">
        <v>1117</v>
      </c>
      <c r="E181" s="106">
        <v>13.5</v>
      </c>
      <c r="F181" s="107">
        <v>274.0</v>
      </c>
      <c r="G181" s="107">
        <v>247.0</v>
      </c>
      <c r="H181" s="108">
        <v>0.00525462962962963</v>
      </c>
      <c r="I181" s="107" t="s">
        <v>1113</v>
      </c>
      <c r="J181" s="110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>
      <c r="A182" s="107" t="s">
        <v>23</v>
      </c>
      <c r="B182" s="113" t="s">
        <v>1110</v>
      </c>
      <c r="C182" s="107" t="s">
        <v>1118</v>
      </c>
      <c r="D182" s="113" t="s">
        <v>1119</v>
      </c>
      <c r="E182" s="106">
        <v>14.0</v>
      </c>
      <c r="F182" s="107">
        <v>229.0</v>
      </c>
      <c r="G182" s="107">
        <v>224.0</v>
      </c>
      <c r="H182" s="108">
        <v>0.004756944444444445</v>
      </c>
      <c r="I182" s="107" t="s">
        <v>1113</v>
      </c>
      <c r="J182" s="110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>
      <c r="A183" s="107" t="s">
        <v>1120</v>
      </c>
      <c r="B183" s="113" t="s">
        <v>802</v>
      </c>
      <c r="C183" s="107" t="s">
        <v>1121</v>
      </c>
      <c r="D183" s="113" t="s">
        <v>1122</v>
      </c>
      <c r="E183" s="106">
        <v>15.5</v>
      </c>
      <c r="F183" s="107">
        <v>254.0</v>
      </c>
      <c r="G183" s="107">
        <v>134.0</v>
      </c>
      <c r="H183" s="108">
        <v>0.0021412037037037038</v>
      </c>
      <c r="I183" s="114">
        <v>-0.125</v>
      </c>
      <c r="J183" s="110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>
      <c r="A184" s="107" t="s">
        <v>1123</v>
      </c>
      <c r="B184" s="113" t="s">
        <v>1124</v>
      </c>
      <c r="C184" s="107" t="s">
        <v>1125</v>
      </c>
      <c r="D184" s="113" t="s">
        <v>1126</v>
      </c>
      <c r="E184" s="106">
        <v>19.0</v>
      </c>
      <c r="F184" s="107">
        <v>449.0</v>
      </c>
      <c r="G184" s="107">
        <v>324.0</v>
      </c>
      <c r="H184" s="108">
        <v>0.0032523148148148147</v>
      </c>
      <c r="I184" s="114">
        <v>1.0</v>
      </c>
      <c r="J184" s="110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>
      <c r="A185" s="103" t="s">
        <v>1123</v>
      </c>
      <c r="B185" s="104" t="s">
        <v>1124</v>
      </c>
      <c r="C185" s="103" t="s">
        <v>1127</v>
      </c>
      <c r="D185" s="105" t="s">
        <v>1128</v>
      </c>
      <c r="E185" s="106">
        <v>22.0</v>
      </c>
      <c r="F185" s="107">
        <v>553.0</v>
      </c>
      <c r="G185" s="107">
        <v>459.0</v>
      </c>
      <c r="H185" s="108">
        <v>0.0027546296296296294</v>
      </c>
      <c r="I185" s="109">
        <v>0.5385</v>
      </c>
      <c r="J185" s="110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>
      <c r="A186" s="103" t="s">
        <v>1123</v>
      </c>
      <c r="B186" s="104" t="s">
        <v>1124</v>
      </c>
      <c r="C186" s="103" t="s">
        <v>1129</v>
      </c>
      <c r="D186" s="105" t="s">
        <v>1130</v>
      </c>
      <c r="E186" s="106">
        <v>22.0</v>
      </c>
      <c r="F186" s="107">
        <v>674.0</v>
      </c>
      <c r="G186" s="107">
        <v>602.0</v>
      </c>
      <c r="H186" s="108">
        <v>0.002824074074074074</v>
      </c>
      <c r="I186" s="109">
        <v>1.0</v>
      </c>
      <c r="J186" s="110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>
      <c r="A187" s="103" t="s">
        <v>1123</v>
      </c>
      <c r="B187" s="104" t="s">
        <v>1124</v>
      </c>
      <c r="C187" s="103" t="s">
        <v>1131</v>
      </c>
      <c r="D187" s="105" t="s">
        <v>1132</v>
      </c>
      <c r="E187" s="106">
        <v>25.0</v>
      </c>
      <c r="F187" s="107">
        <v>790.0</v>
      </c>
      <c r="G187" s="107">
        <v>718.0</v>
      </c>
      <c r="H187" s="108">
        <v>0.0025925925925925925</v>
      </c>
      <c r="I187" s="109">
        <v>1.0</v>
      </c>
      <c r="J187" s="110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  <row r="1001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</row>
  </sheetData>
  <drawing r:id="rId1"/>
</worksheet>
</file>